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dmin\Desktop\Completed Lux Dev Projects\Excel Jumia Revision\"/>
    </mc:Choice>
  </mc:AlternateContent>
  <xr:revisionPtr revIDLastSave="0" documentId="13_ncr:1_{E6338E74-7691-45A5-B8A3-918ADFAC7B97}" xr6:coauthVersionLast="47" xr6:coauthVersionMax="47" xr10:uidLastSave="{00000000-0000-0000-0000-000000000000}"/>
  <bookViews>
    <workbookView xWindow="-28920" yWindow="-960" windowWidth="29040" windowHeight="15720" firstSheet="2" activeTab="7" xr2:uid="{3CF87339-A6F5-4C72-BADB-E6CE13E20056}"/>
  </bookViews>
  <sheets>
    <sheet name="Excel_jumia_raw" sheetId="12" r:id="rId1"/>
    <sheet name="Excel_jumia" sheetId="1" r:id="rId2"/>
    <sheet name="RltnshpDisc%&amp;No.ofReviews" sheetId="2" r:id="rId3"/>
    <sheet name="RltnshpRating&amp;No.ofReviews" sheetId="5" r:id="rId4"/>
    <sheet name="Pivot Tables" sheetId="6" r:id="rId5"/>
    <sheet name="compbtwndisc&amp;avgrating&amp;rev" sheetId="7" r:id="rId6"/>
    <sheet name="KPIs" sheetId="8" r:id="rId7"/>
    <sheet name="Dashboard" sheetId="11" r:id="rId8"/>
  </sheets>
  <definedNames>
    <definedName name="_xlnm._FilterDatabase" localSheetId="1" hidden="1">Excel_jumia!$A$1:$L$113</definedName>
    <definedName name="Slicer_Discount_Category">#N/A</definedName>
    <definedName name="Slicer_Rating_Category">#N/A</definedName>
  </definedNames>
  <calcPr calcId="18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I4" i="8" l="1"/>
  <c r="J4" i="8"/>
  <c r="K4" i="8"/>
  <c r="H4" i="8"/>
  <c r="L26" i="1"/>
  <c r="L25" i="1"/>
  <c r="L24" i="1"/>
  <c r="L5" i="1"/>
  <c r="L4" i="1"/>
  <c r="L3"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2" i="1"/>
  <c r="B40" i="1"/>
  <c r="F40" i="1" s="1"/>
  <c r="L21" i="1" l="1"/>
  <c r="L19" i="1"/>
  <c r="L20" i="1"/>
  <c r="L14" i="1"/>
  <c r="L9" i="1"/>
  <c r="L15" i="1"/>
  <c r="L2" i="1"/>
  <c r="L13" i="1"/>
  <c r="L8" i="1"/>
</calcChain>
</file>

<file path=xl/sharedStrings.xml><?xml version="1.0" encoding="utf-8"?>
<sst xmlns="http://schemas.openxmlformats.org/spreadsheetml/2006/main" count="859" uniqueCount="365">
  <si>
    <t>Product</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</si>
  <si>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</si>
  <si>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</si>
  <si>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</si>
  <si>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</si>
  <si>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</si>
  <si>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</si>
  <si>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</si>
  <si>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</si>
  <si>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</si>
  <si>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</si>
  <si>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</si>
  <si>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</si>
  <si>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</si>
  <si>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</si>
  <si>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</si>
  <si>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</si>
  <si>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</si>
  <si>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</si>
  <si>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</si>
  <si>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</si>
  <si>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</si>
  <si>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</si>
  <si>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</si>
  <si>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</si>
  <si>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</si>
  <si>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</si>
  <si>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</si>
  <si>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</si>
  <si>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</si>
  <si>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</si>
  <si>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</si>
  <si>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</si>
  <si>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</si>
  <si>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</si>
  <si>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</si>
  <si>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</si>
  <si>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</si>
  <si>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</si>
  <si>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</si>
  <si>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</si>
  <si>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</si>
  <si>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</si>
  <si>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</si>
  <si>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</si>
  <si>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</si>
  <si>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</si>
  <si>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</si>
  <si>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</si>
  <si>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</si>
  <si>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</si>
  <si>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</si>
  <si>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</si>
  <si>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</si>
  <si>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</si>
  <si>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</si>
  <si>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</si>
  <si>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</si>
  <si>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</si>
  <si>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</si>
  <si>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</si>
  <si>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</si>
  <si>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</si>
  <si>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</si>
  <si>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</si>
  <si>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</si>
  <si>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</si>
  <si>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</si>
  <si>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</si>
  <si>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</si>
  <si>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</si>
  <si>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</si>
  <si>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</si>
  <si>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</si>
  <si>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</si>
  <si>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</si>
  <si>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</si>
  <si>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</si>
  <si>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</si>
  <si>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</si>
  <si>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</si>
  <si>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</si>
  <si>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</si>
  <si>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</si>
  <si>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</si>
  <si>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</si>
  <si>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</si>
  <si>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</si>
  <si>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</si>
  <si>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</si>
  <si>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</si>
  <si>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</si>
  <si>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</si>
  <si>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</si>
  <si>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</si>
  <si>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</si>
  <si>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</si>
  <si>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</si>
  <si>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</si>
  <si>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</si>
  <si>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</si>
  <si>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</si>
  <si>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</si>
  <si>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</si>
  <si>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</si>
  <si>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</si>
  <si>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</si>
  <si>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</si>
  <si>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</si>
  <si>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</si>
  <si>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</si>
  <si>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</si>
  <si>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t>
  </si>
  <si>
    <t>null</t>
  </si>
  <si>
    <t>Current Price</t>
  </si>
  <si>
    <t>Old Price</t>
  </si>
  <si>
    <t>Discount Amount</t>
  </si>
  <si>
    <t>Rating Category</t>
  </si>
  <si>
    <t>Discount Category</t>
  </si>
  <si>
    <t>Average</t>
  </si>
  <si>
    <t>Current Pirce</t>
  </si>
  <si>
    <t>Discount %</t>
  </si>
  <si>
    <t>Most Expensive</t>
  </si>
  <si>
    <t xml:space="preserve">Least Expensive </t>
  </si>
  <si>
    <t>Medium Discount</t>
  </si>
  <si>
    <t>Low Discount</t>
  </si>
  <si>
    <t>High Discount</t>
  </si>
  <si>
    <t>Poor</t>
  </si>
  <si>
    <t>Excellent</t>
  </si>
  <si>
    <t>Not Rated</t>
  </si>
  <si>
    <t>Average rating  by discount category</t>
  </si>
  <si>
    <t>Average Discount % by discount category</t>
  </si>
  <si>
    <t>Product Distribution across Rating Categories</t>
  </si>
  <si>
    <t xml:space="preserve">Poor </t>
  </si>
  <si>
    <t>Row Labels</t>
  </si>
  <si>
    <t>Grand Total</t>
  </si>
  <si>
    <t>Sum of Review</t>
  </si>
  <si>
    <t xml:space="preserve">Top 10 Products </t>
  </si>
  <si>
    <t xml:space="preserve"> Discount</t>
  </si>
  <si>
    <t>Count of Review</t>
  </si>
  <si>
    <t>Max of Rating</t>
  </si>
  <si>
    <t>Top 5 Highest Rated Products</t>
  </si>
  <si>
    <t>Min of Rating</t>
  </si>
  <si>
    <t>Bottom Rated Products</t>
  </si>
  <si>
    <t>Average of Rating</t>
  </si>
  <si>
    <t>Count of Product</t>
  </si>
  <si>
    <t>Average of Discount</t>
  </si>
  <si>
    <t>Column Labels</t>
  </si>
  <si>
    <t>Values of Display</t>
  </si>
  <si>
    <t>Products</t>
  </si>
  <si>
    <t>Avg. Rating</t>
  </si>
  <si>
    <t>Avg.Discount</t>
  </si>
  <si>
    <t>Reviews</t>
  </si>
  <si>
    <t>Current price</t>
  </si>
  <si>
    <t>old price</t>
  </si>
  <si>
    <t>Ratingd</t>
  </si>
  <si>
    <t>KSh 950</t>
  </si>
  <si>
    <t>KSh 1,525</t>
  </si>
  <si>
    <t>4.5 out of 5</t>
  </si>
  <si>
    <t>KSh 527</t>
  </si>
  <si>
    <t>KSh 999</t>
  </si>
  <si>
    <t>4.1 out of 5</t>
  </si>
  <si>
    <t>KSh 2,199</t>
  </si>
  <si>
    <t>KSh 2,923</t>
  </si>
  <si>
    <t>4.6 out of 5</t>
  </si>
  <si>
    <t>KSh 1,580</t>
  </si>
  <si>
    <t>KSh 2,499</t>
  </si>
  <si>
    <t>4.7 out of 5</t>
  </si>
  <si>
    <t>KSh 1,740</t>
  </si>
  <si>
    <t>KSh 2,356</t>
  </si>
  <si>
    <t>4.8 out of 5</t>
  </si>
  <si>
    <t>KSh 2,999</t>
  </si>
  <si>
    <t>KSh 3,290</t>
  </si>
  <si>
    <t>4 out of 5</t>
  </si>
  <si>
    <t>KSh 2,319</t>
  </si>
  <si>
    <t>KSh 3,032</t>
  </si>
  <si>
    <t>KSh 988</t>
  </si>
  <si>
    <t>KSh 1,274</t>
  </si>
  <si>
    <t>KSh 2,800</t>
  </si>
  <si>
    <t>KSh 1,600</t>
  </si>
  <si>
    <t>KSh 2,929</t>
  </si>
  <si>
    <t>3.8 out of 5</t>
  </si>
  <si>
    <t>KSh 799</t>
  </si>
  <si>
    <t>KSh 990</t>
  </si>
  <si>
    <t>KSh 1,500</t>
  </si>
  <si>
    <t>KSh 552</t>
  </si>
  <si>
    <t>KSh 1,035</t>
  </si>
  <si>
    <t>KSh 501</t>
  </si>
  <si>
    <t>KSh 860</t>
  </si>
  <si>
    <t>KSh 1,680</t>
  </si>
  <si>
    <t>4.2 out of 5</t>
  </si>
  <si>
    <t>KSh 332</t>
  </si>
  <si>
    <t>KSh 684</t>
  </si>
  <si>
    <t>5 out of 5</t>
  </si>
  <si>
    <t>KSh 195</t>
  </si>
  <si>
    <t>KSh 360</t>
  </si>
  <si>
    <t>KSh 2,025</t>
  </si>
  <si>
    <t>KSh 3,971</t>
  </si>
  <si>
    <t>KSh 3,699</t>
  </si>
  <si>
    <t>KSh 998</t>
  </si>
  <si>
    <t>KSh 1,966</t>
  </si>
  <si>
    <t>KSh 38</t>
  </si>
  <si>
    <t>KSh 80</t>
  </si>
  <si>
    <t>3.3 out of 5</t>
  </si>
  <si>
    <t>KSh 1,860</t>
  </si>
  <si>
    <t>KSh 3,220</t>
  </si>
  <si>
    <t>KSh 880</t>
  </si>
  <si>
    <t>KSh 1,350</t>
  </si>
  <si>
    <t>KSh 1,650</t>
  </si>
  <si>
    <t>KSh 2,150</t>
  </si>
  <si>
    <t>4.4 out of 5</t>
  </si>
  <si>
    <t>KSh 2,048</t>
  </si>
  <si>
    <t>KSh 4,500</t>
  </si>
  <si>
    <t>4.3 out of 5</t>
  </si>
  <si>
    <t>KSh 420</t>
  </si>
  <si>
    <t>KSh 647</t>
  </si>
  <si>
    <t>KSh 2,880</t>
  </si>
  <si>
    <t>KSh 3,520</t>
  </si>
  <si>
    <t>KSh 1,990</t>
  </si>
  <si>
    <t>KSh 1,758</t>
  </si>
  <si>
    <t>KSh 2,200</t>
  </si>
  <si>
    <t>KSh 4,080</t>
  </si>
  <si>
    <t>KSh 185</t>
  </si>
  <si>
    <t>KSh 382</t>
  </si>
  <si>
    <t>KSh 980</t>
  </si>
  <si>
    <t>KSh 1,490</t>
  </si>
  <si>
    <t>KSh 1,820</t>
  </si>
  <si>
    <t>KSh 3,490</t>
  </si>
  <si>
    <t>KSh 1,940</t>
  </si>
  <si>
    <t>KSh 2,650</t>
  </si>
  <si>
    <t>KSh 1,980</t>
  </si>
  <si>
    <t>KSh 2,699</t>
  </si>
  <si>
    <t>KSh 1,620</t>
  </si>
  <si>
    <t>KSh 2,690</t>
  </si>
  <si>
    <t>KSh 171</t>
  </si>
  <si>
    <t>KSh 389</t>
  </si>
  <si>
    <t>KSh 656</t>
  </si>
  <si>
    <t>KSh 1,620 - KSh 1,980</t>
  </si>
  <si>
    <t>KSh 2,200 - KSh 3,200</t>
  </si>
  <si>
    <t>KSh 2,750</t>
  </si>
  <si>
    <t>KSh 4,471</t>
  </si>
  <si>
    <t>KSh 475</t>
  </si>
  <si>
    <t>KSh 931</t>
  </si>
  <si>
    <t>KSh 238</t>
  </si>
  <si>
    <t>KSh 476</t>
  </si>
  <si>
    <t>KSh 610</t>
  </si>
  <si>
    <t>KSh 1,060</t>
  </si>
  <si>
    <t>KSh 2,132</t>
  </si>
  <si>
    <t>KSh 2,169</t>
  </si>
  <si>
    <t>KSh 2,000</t>
  </si>
  <si>
    <t>KSh 1,190</t>
  </si>
  <si>
    <t>KSh 1,785</t>
  </si>
  <si>
    <t>KSh 671</t>
  </si>
  <si>
    <t>KSh 1,316</t>
  </si>
  <si>
    <t>KSh 1,200</t>
  </si>
  <si>
    <t>KSh 1,950</t>
  </si>
  <si>
    <t>KSh 199</t>
  </si>
  <si>
    <t>KSh 504</t>
  </si>
  <si>
    <t>KSh 299</t>
  </si>
  <si>
    <t>KSh 600</t>
  </si>
  <si>
    <t>KSh 1,660</t>
  </si>
  <si>
    <t>KSh 1,699</t>
  </si>
  <si>
    <t>KSh 384</t>
  </si>
  <si>
    <t>KSh 1,459</t>
  </si>
  <si>
    <t>KSh 1,499</t>
  </si>
  <si>
    <t>KSh 1,343</t>
  </si>
  <si>
    <t>KSh 499</t>
  </si>
  <si>
    <t>KSh 900</t>
  </si>
  <si>
    <t>KSh 699</t>
  </si>
  <si>
    <t>KSh 1,567</t>
  </si>
  <si>
    <t>KSh 2,799</t>
  </si>
  <si>
    <t>KSh 3,810</t>
  </si>
  <si>
    <t>KSh 399</t>
  </si>
  <si>
    <t>KSh 896</t>
  </si>
  <si>
    <t>KSh 2,170</t>
  </si>
  <si>
    <t>KSh 2,500</t>
  </si>
  <si>
    <t>2.5 out of 5</t>
  </si>
  <si>
    <t>KSh 458</t>
  </si>
  <si>
    <t>KSh 986</t>
  </si>
  <si>
    <t>3 out of 5</t>
  </si>
  <si>
    <t>KSh 2,115</t>
  </si>
  <si>
    <t>KSh 4,700</t>
  </si>
  <si>
    <t>2.1 out of 5</t>
  </si>
  <si>
    <t>KSh 445</t>
  </si>
  <si>
    <t>KSh 873</t>
  </si>
  <si>
    <t>2.8 out of 5</t>
  </si>
  <si>
    <t>KSh 325</t>
  </si>
  <si>
    <t>KSh 680</t>
  </si>
  <si>
    <t>2.7 out of 5</t>
  </si>
  <si>
    <t>KSh 1,220</t>
  </si>
  <si>
    <t>KSh 1,555</t>
  </si>
  <si>
    <t>2.9 out of 5</t>
  </si>
  <si>
    <t>KSh 1,814</t>
  </si>
  <si>
    <t>2.2 out of 5</t>
  </si>
  <si>
    <t>KSh 1,000</t>
  </si>
  <si>
    <t>2.3 out of 5</t>
  </si>
  <si>
    <t>KSh 3,750</t>
  </si>
  <si>
    <t>KSh 6,143</t>
  </si>
  <si>
    <t>KSh 700</t>
  </si>
  <si>
    <t>2.6 out of 5</t>
  </si>
  <si>
    <t>KSh 2,300</t>
  </si>
  <si>
    <t>KSh 3,240</t>
  </si>
  <si>
    <t>KSh 345</t>
  </si>
  <si>
    <t>KSh 602</t>
  </si>
  <si>
    <t>KSh 509</t>
  </si>
  <si>
    <t>KSh 899</t>
  </si>
  <si>
    <t>KSh 968</t>
  </si>
  <si>
    <t>KSh 1,570</t>
  </si>
  <si>
    <t>KSh 2,988</t>
  </si>
  <si>
    <t>KSh 790</t>
  </si>
  <si>
    <t>KSh 1,485</t>
  </si>
  <si>
    <t>KSh 690</t>
  </si>
  <si>
    <t>KSh 1,732</t>
  </si>
  <si>
    <t>KSh 1,799</t>
  </si>
  <si>
    <t>KSh 230</t>
  </si>
  <si>
    <t>KSh 450</t>
  </si>
  <si>
    <t>KSh 1,189</t>
  </si>
  <si>
    <t>KSh 979</t>
  </si>
  <si>
    <t>KSh 1,920</t>
  </si>
  <si>
    <t>KSh 1,460</t>
  </si>
  <si>
    <t>KSh 2,290</t>
  </si>
  <si>
    <t>KSh 1,666</t>
  </si>
  <si>
    <t>KSh 330</t>
  </si>
  <si>
    <t>KSh 176</t>
  </si>
  <si>
    <t>KSh 1,466</t>
  </si>
  <si>
    <t>KSh 274</t>
  </si>
  <si>
    <t>KSh 537</t>
  </si>
  <si>
    <t>KSh 657</t>
  </si>
  <si>
    <t>KSh 1,288</t>
  </si>
  <si>
    <t>KSh 1,468</t>
  </si>
  <si>
    <t>KSh 630</t>
  </si>
  <si>
    <t>KSh 1,100</t>
  </si>
  <si>
    <t>KSh 850</t>
  </si>
  <si>
    <t>KSh 1,700</t>
  </si>
  <si>
    <t>KSh 1,300</t>
  </si>
  <si>
    <t>KSh 105</t>
  </si>
  <si>
    <t>KSh 200</t>
  </si>
  <si>
    <t>KSh 2,400</t>
  </si>
  <si>
    <t>KSh 1,526</t>
  </si>
  <si>
    <t>KSh 1,462</t>
  </si>
  <si>
    <t>KSh 248</t>
  </si>
  <si>
    <t>KSh 486</t>
  </si>
  <si>
    <t>KSh 3,546</t>
  </si>
  <si>
    <t>KSh 525</t>
  </si>
  <si>
    <t>KSh 1,029</t>
  </si>
  <si>
    <t>KSh 1,080</t>
  </si>
  <si>
    <t>KSh 1,874</t>
  </si>
  <si>
    <t>KSh 3,640</t>
  </si>
  <si>
    <t>KSh 4,588</t>
  </si>
  <si>
    <t>KSh 1,420</t>
  </si>
  <si>
    <t>KSh 2,420</t>
  </si>
  <si>
    <t>KSh 1,875</t>
  </si>
  <si>
    <t>KSh 1,899</t>
  </si>
  <si>
    <t>KSh 198</t>
  </si>
  <si>
    <t>KSh 260</t>
  </si>
  <si>
    <t>KSh 1,150</t>
  </si>
  <si>
    <t>KSh 1,737</t>
  </si>
  <si>
    <t>KSh 1,810</t>
  </si>
  <si>
    <t>KSh 1,658</t>
  </si>
  <si>
    <t>KSh 1,768</t>
  </si>
  <si>
    <t>KSh 553</t>
  </si>
  <si>
    <t>2 out of 5</t>
  </si>
  <si>
    <t>KSh 169</t>
  </si>
  <si>
    <t>KSh 320</t>
  </si>
  <si>
    <t>Averages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</si>
</sst>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9" fontId="0" fillId="0" borderId="0" xfId="0" applyNumberFormat="1"/>
    <xf numFmtId="0" fontId="16" fillId="0" borderId="0" xfId="0" applyFont="1"/>
    <xf numFmtId="0" fontId="18" fillId="0" borderId="0" xfId="0" applyFont="1"/>
    <xf numFmtId="2" fontId="18" fillId="0" borderId="0" xfId="0" applyNumberFormat="1" applyFont="1"/>
    <xf numFmtId="2" fontId="0" fillId="0" borderId="0" xfId="0" applyNumberFormat="1"/>
    <xf numFmtId="164" fontId="18" fillId="0" borderId="0" xfId="0" applyNumberFormat="1" applyFont="1"/>
    <xf numFmtId="164" fontId="0" fillId="0" borderId="0" xfId="0" applyNumberFormat="1"/>
    <xf numFmtId="9" fontId="18" fillId="0" borderId="0" xfId="1" applyFont="1"/>
    <xf numFmtId="9" fontId="0" fillId="0" borderId="0" xfId="1" applyFont="1"/>
    <xf numFmtId="2" fontId="18" fillId="0" borderId="0" xfId="1" applyNumberFormat="1" applyFont="1"/>
    <xf numFmtId="2" fontId="0" fillId="0" borderId="0" xfId="1" applyNumberFormat="1" applyFont="1"/>
    <xf numFmtId="164"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0" fillId="33" borderId="0" xfId="0" applyNumberForma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6">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ill>
        <patternFill patternType="solid">
          <bgColor rgb="FFFFFF00"/>
        </patternFill>
      </fill>
    </dxf>
    <dxf>
      <fill>
        <patternFill>
          <bgColor rgb="FFFF0000"/>
        </patternFill>
      </fill>
    </dxf>
    <dxf>
      <font>
        <color theme="2" tint="-0.499984740745262"/>
        <name val="Aptos Narrow"/>
        <family val="2"/>
        <scheme val="none"/>
      </font>
    </dxf>
    <dxf>
      <font>
        <b/>
        <i val="0"/>
        <strike val="0"/>
        <sz val="11"/>
        <color theme="0"/>
        <name val="Aptos Narrow"/>
        <family val="2"/>
        <scheme val="none"/>
      </font>
      <fill>
        <patternFill>
          <bgColor theme="0"/>
        </patternFill>
      </fill>
    </dxf>
  </dxfs>
  <tableStyles count="1" defaultTableStyle="TableStyleMedium2" defaultPivotStyle="PivotStyleLight16">
    <tableStyle name="Slicer Style 1" pivot="0" table="0" count="4" xr9:uid="{1EAC42C0-0895-4962-8305-DE2FB94D3416}">
      <tableStyleElement type="wholeTable" dxfId="45"/>
      <tableStyleElement type="headerRow" dxfId="44"/>
    </tableStyle>
  </tableStyles>
  <colors>
    <mruColors>
      <color rgb="FFFB9C11"/>
      <color rgb="FFFBD9B3"/>
      <color rgb="FFFEF5EC"/>
      <color rgb="FFEE8F04"/>
      <color rgb="FFFEE2BA"/>
      <color rgb="FFFCE3C8"/>
      <color rgb="FFEA8D04"/>
      <color rgb="FFC57603"/>
      <color rgb="FFFEC45C"/>
    </mruColors>
  </colors>
  <extLst>
    <ext xmlns:x14="http://schemas.microsoft.com/office/spreadsheetml/2009/9/main" uri="{46F421CA-312F-682f-3DD2-61675219B42D}">
      <x14:dxfs count="2">
        <dxf>
          <fill>
            <patternFill>
              <bgColor rgb="FFEA8D04"/>
            </patternFill>
          </fill>
        </dxf>
        <dxf>
          <fill>
            <patternFill>
              <bgColor rgb="FFFEC45C"/>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Discount</a:t>
            </a:r>
            <a:r>
              <a:rPr lang="en-US" baseline="0"/>
              <a:t> Percentage &amp; No.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Excel_jumia!$G$1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7.4888660323378292E-2"/>
                  <c:y val="-7.130478324549653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layout>
                <c:manualLayout>
                  <c:x val="8.0087654564559546E-2"/>
                  <c:y val="-3.738851403510968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Excel_jumia!$D$2:$D$113</c:f>
              <c:numCache>
                <c:formatCode>0%</c:formatCode>
                <c:ptCount val="112"/>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Excel_jumia!$G$2:$G$113</c:f>
              <c:numCache>
                <c:formatCode>General</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0-8DE2-4DB5-A8E3-BDC3308EA027}"/>
            </c:ext>
          </c:extLst>
        </c:ser>
        <c:dLbls>
          <c:showLegendKey val="0"/>
          <c:showVal val="0"/>
          <c:showCatName val="0"/>
          <c:showSerName val="0"/>
          <c:showPercent val="0"/>
          <c:showBubbleSize val="0"/>
        </c:dLbls>
        <c:axId val="656508384"/>
        <c:axId val="656492064"/>
      </c:scatterChart>
      <c:valAx>
        <c:axId val="656508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Percentage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492064"/>
        <c:crosses val="autoZero"/>
        <c:crossBetween val="midCat"/>
      </c:valAx>
      <c:valAx>
        <c:axId val="656492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 </a:t>
                </a:r>
              </a:p>
            </c:rich>
          </c:tx>
          <c:layout>
            <c:manualLayout>
              <c:xMode val="edge"/>
              <c:yMode val="edge"/>
              <c:x val="1.3864116965907967E-2"/>
              <c:y val="0.4459670303472069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083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[Excel_Jumia_Assignment.xlsx]RltnshpRating&amp;No.ofReviews!PivotTable14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Ratings and No.of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'RltnshpRating&amp;No.ofReviews'!$B$3</c:f>
              <c:strCache>
                <c:ptCount val="1"/>
                <c:pt idx="0">
                  <c:v>Total</c:v>
                </c:pt>
              </c:strCache>
            </c:strRef>
          </c:tx>
          <c:spPr>
            <a:solidFill>
              <a:schemeClr val="accent1"/>
            </a:solidFill>
            <a:ln>
              <a:noFill/>
            </a:ln>
            <a:effectLst/>
          </c:spPr>
          <c:invertIfNegative val="0"/>
          <c:cat>
            <c:strRef>
              <c:f>'RltnshpRating&amp;No.ofReviews'!$A$4:$A$27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null</c:v>
                </c:pt>
              </c:strCache>
            </c:strRef>
          </c:cat>
          <c:val>
            <c:numRef>
              <c:f>'RltnshpRating&amp;No.ofReviews'!$B$4:$B$27</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pt idx="22">
                  <c:v>0</c:v>
                </c:pt>
              </c:numCache>
            </c:numRef>
          </c:val>
          <c:extLst>
            <c:ext xmlns:c16="http://schemas.microsoft.com/office/drawing/2014/chart" uri="{C3380CC4-5D6E-409C-BE32-E72D297353CC}">
              <c16:uniqueId val="{00000000-77EE-4440-959E-16C175A8AF6D}"/>
            </c:ext>
          </c:extLst>
        </c:ser>
        <c:dLbls>
          <c:showLegendKey val="0"/>
          <c:showVal val="0"/>
          <c:showCatName val="0"/>
          <c:showSerName val="0"/>
          <c:showPercent val="0"/>
          <c:showBubbleSize val="0"/>
        </c:dLbls>
        <c:gapWidth val="219"/>
        <c:overlap val="-27"/>
        <c:axId val="656541984"/>
        <c:axId val="656542464"/>
      </c:barChart>
      <c:catAx>
        <c:axId val="656541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42464"/>
        <c:crosses val="autoZero"/>
        <c:auto val="1"/>
        <c:lblAlgn val="ctr"/>
        <c:lblOffset val="100"/>
        <c:noMultiLvlLbl val="0"/>
      </c:catAx>
      <c:valAx>
        <c:axId val="656542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Reviews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4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Tables'!$A$4:$A$15</c:f>
              <c:strCache>
                <c:ptCount val="11"/>
                <c:pt idx="0">
                  <c:v>Exfoliate And Exfoliate Face Towel - Black</c:v>
                </c:pt>
                <c:pt idx="1">
                  <c:v>Intelligent  LED Body Sensor Wireless Lighting Night Light USB</c:v>
                </c:pt>
                <c:pt idx="2">
                  <c:v>3PCS Single Head Knitting Crochet Sweater Needle Set</c:v>
                </c:pt>
                <c:pt idx="3">
                  <c:v>Classic Black Cat Cotton Hemp Pillow Case For Home Car</c:v>
                </c:pt>
                <c:pt idx="4">
                  <c:v>Mythco 120COB Solar Wall Ligt With Motion Sensor And Remote Control 3 Modes</c:v>
                </c:pt>
                <c:pt idx="5">
                  <c:v>LASA 3 Tier Bamboo Shoe Bench Storage Shelf</c:v>
                </c:pt>
                <c:pt idx="6">
                  <c:v>Simple Metal Dog Art Sculpture Decoration For Home Office</c:v>
                </c:pt>
                <c:pt idx="7">
                  <c:v>LASA FOLDING TABLE SERVING STAND</c:v>
                </c:pt>
                <c:pt idx="8">
                  <c:v>5-PCS Stainless Steel Cooking Pot Set With Steamed Slices</c:v>
                </c:pt>
                <c:pt idx="9">
                  <c:v>Creative Owl Shape Keychain Black</c:v>
                </c:pt>
                <c:pt idx="10">
                  <c:v>6 In 1 Bottle Can Opener Multifunctional Easy Opener</c:v>
                </c:pt>
              </c:strCache>
            </c:strRef>
          </c:cat>
          <c:val>
            <c:numRef>
              <c:f>'Pivot Tables'!$B$4:$B$15</c:f>
              <c:numCache>
                <c:formatCode>0%</c:formatCode>
                <c:ptCount val="11"/>
                <c:pt idx="0">
                  <c:v>0.52</c:v>
                </c:pt>
                <c:pt idx="1">
                  <c:v>0.52</c:v>
                </c:pt>
                <c:pt idx="2">
                  <c:v>0.53</c:v>
                </c:pt>
                <c:pt idx="3">
                  <c:v>0.53</c:v>
                </c:pt>
                <c:pt idx="4">
                  <c:v>0.54</c:v>
                </c:pt>
                <c:pt idx="5">
                  <c:v>0.54</c:v>
                </c:pt>
                <c:pt idx="6">
                  <c:v>0.55000000000000004</c:v>
                </c:pt>
                <c:pt idx="7">
                  <c:v>0.55000000000000004</c:v>
                </c:pt>
                <c:pt idx="8">
                  <c:v>0.55000000000000004</c:v>
                </c:pt>
                <c:pt idx="9">
                  <c:v>0.61</c:v>
                </c:pt>
                <c:pt idx="10">
                  <c:v>0.64</c:v>
                </c:pt>
              </c:numCache>
            </c:numRef>
          </c:val>
          <c:extLst>
            <c:ext xmlns:c16="http://schemas.microsoft.com/office/drawing/2014/chart" uri="{C3380CC4-5D6E-409C-BE32-E72D297353CC}">
              <c16:uniqueId val="{00000000-1CA3-41A6-BB55-70C0FAA82812}"/>
            </c:ext>
          </c:extLst>
        </c:ser>
        <c:dLbls>
          <c:showLegendKey val="0"/>
          <c:showVal val="0"/>
          <c:showCatName val="0"/>
          <c:showSerName val="0"/>
          <c:showPercent val="0"/>
          <c:showBubbleSize val="0"/>
        </c:dLbls>
        <c:gapWidth val="182"/>
        <c:axId val="203756207"/>
        <c:axId val="203753807"/>
      </c:barChart>
      <c:catAx>
        <c:axId val="20375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53807"/>
        <c:crosses val="autoZero"/>
        <c:auto val="1"/>
        <c:lblAlgn val="ctr"/>
        <c:lblOffset val="100"/>
        <c:noMultiLvlLbl val="0"/>
      </c:catAx>
      <c:valAx>
        <c:axId val="2037538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5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Tables'!$B$21</c:f>
              <c:strCache>
                <c:ptCount val="1"/>
                <c:pt idx="0">
                  <c:v>Total</c:v>
                </c:pt>
              </c:strCache>
            </c:strRef>
          </c:tx>
          <c:spPr>
            <a:solidFill>
              <a:schemeClr val="accent1"/>
            </a:solidFill>
            <a:ln>
              <a:noFill/>
            </a:ln>
            <a:effectLst/>
          </c:spPr>
          <c:invertIfNegative val="0"/>
          <c:cat>
            <c:strRef>
              <c:f>'Pivot Tables'!$A$22:$A$32</c:f>
              <c:strCache>
                <c:ptCount val="10"/>
                <c:pt idx="0">
                  <c:v>52 Pieces Cake Decorating Tool Set Gift Kit Baking Supplies</c:v>
                </c:pt>
                <c:pt idx="1">
                  <c:v>53Pcs/Set Yarn Knitting Crochet Hooks With Bag - Fortune Cat</c:v>
                </c:pt>
                <c:pt idx="2">
                  <c:v>Portable Mini Cordless Car Vacuum Cleaner - Blue</c:v>
                </c:pt>
                <c:pt idx="3">
                  <c:v>53 Pieces/Set Yarn Knitting Crochet Hooks With Bag - Pansies</c:v>
                </c:pt>
                <c:pt idx="4">
                  <c:v>Punch-free Great Load Bearing Bathroom Storage Rack Wall Shelf-White</c:v>
                </c:pt>
                <c:pt idx="5">
                  <c:v>100 Pcs Crochet Hook Tool Set Knitting Hook Set With Box</c:v>
                </c:pt>
                <c:pt idx="6">
                  <c:v>3D Waterproof EVA Plastic Shower Curtain 1.8*2Mtrs</c:v>
                </c:pt>
                <c:pt idx="7">
                  <c:v>Electronic Digital Display Vernier Caliper</c:v>
                </c:pt>
                <c:pt idx="8">
                  <c:v>137 Pieces Cake Decorating Tool Set Baking Supplies</c:v>
                </c:pt>
                <c:pt idx="9">
                  <c:v>120W Cordless Vacuum Cleaners Handheld Electric Vacuum Cleaner</c:v>
                </c:pt>
              </c:strCache>
            </c:strRef>
          </c:cat>
          <c:val>
            <c:numRef>
              <c:f>'Pivot Tables'!$B$22:$B$32</c:f>
              <c:numCache>
                <c:formatCode>General</c:formatCode>
                <c:ptCount val="10"/>
                <c:pt idx="0">
                  <c:v>20</c:v>
                </c:pt>
                <c:pt idx="1">
                  <c:v>20</c:v>
                </c:pt>
                <c:pt idx="2">
                  <c:v>24</c:v>
                </c:pt>
                <c:pt idx="3">
                  <c:v>32</c:v>
                </c:pt>
                <c:pt idx="4">
                  <c:v>36</c:v>
                </c:pt>
                <c:pt idx="5">
                  <c:v>39</c:v>
                </c:pt>
                <c:pt idx="6">
                  <c:v>44</c:v>
                </c:pt>
                <c:pt idx="7">
                  <c:v>49</c:v>
                </c:pt>
                <c:pt idx="8">
                  <c:v>55</c:v>
                </c:pt>
                <c:pt idx="9">
                  <c:v>69</c:v>
                </c:pt>
              </c:numCache>
            </c:numRef>
          </c:val>
          <c:extLst>
            <c:ext xmlns:c16="http://schemas.microsoft.com/office/drawing/2014/chart" uri="{C3380CC4-5D6E-409C-BE32-E72D297353CC}">
              <c16:uniqueId val="{00000000-DFB8-4CEF-A333-65EB81813E36}"/>
            </c:ext>
          </c:extLst>
        </c:ser>
        <c:dLbls>
          <c:showLegendKey val="0"/>
          <c:showVal val="0"/>
          <c:showCatName val="0"/>
          <c:showSerName val="0"/>
          <c:showPercent val="0"/>
          <c:showBubbleSize val="0"/>
        </c:dLbls>
        <c:gapWidth val="182"/>
        <c:axId val="234666191"/>
        <c:axId val="234668591"/>
      </c:barChart>
      <c:catAx>
        <c:axId val="23466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668591"/>
        <c:crosses val="autoZero"/>
        <c:auto val="1"/>
        <c:lblAlgn val="ctr"/>
        <c:lblOffset val="100"/>
        <c:noMultiLvlLbl val="0"/>
      </c:catAx>
      <c:valAx>
        <c:axId val="234668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66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Highest Rated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Tables'!$B$37</c:f>
              <c:strCache>
                <c:ptCount val="1"/>
                <c:pt idx="0">
                  <c:v>Total</c:v>
                </c:pt>
              </c:strCache>
            </c:strRef>
          </c:tx>
          <c:spPr>
            <a:solidFill>
              <a:schemeClr val="accent1"/>
            </a:solidFill>
            <a:ln>
              <a:noFill/>
            </a:ln>
            <a:effectLst/>
          </c:spPr>
          <c:invertIfNegative val="0"/>
          <c:cat>
            <c:strRef>
              <c:f>'Pivot Tables'!$A$38:$A$45</c:f>
              <c:strCache>
                <c:ptCount val="7"/>
                <c:pt idx="0">
                  <c:v>Anti-Skid Absorbent Insulation Coaster  For Home Office</c:v>
                </c:pt>
                <c:pt idx="1">
                  <c:v>Bedroom Simple Floor Hanging Clothes Rack Single Pole Hat Rack - White</c:v>
                </c:pt>
                <c:pt idx="2">
                  <c:v>Classic Black Cat Cotton Hemp Pillow Case For Home Car</c:v>
                </c:pt>
                <c:pt idx="3">
                  <c:v>DIY File Folder, Office Drawer File Holder, Pen Holder, Desktop Storage Rack</c:v>
                </c:pt>
                <c:pt idx="4">
                  <c:v>Konka Healty Electric Kettle, 24-hour Heat Preservation,1.5L,800W, White</c:v>
                </c:pt>
                <c:pt idx="5">
                  <c:v>LASA Aluminum Folding Truck Hand Cart - 68kg Max</c:v>
                </c:pt>
                <c:pt idx="6">
                  <c:v>Peacock  Throw Pillow Cushion Case For Home Car</c:v>
                </c:pt>
              </c:strCache>
            </c:strRef>
          </c:cat>
          <c:val>
            <c:numRef>
              <c:f>'Pivot Tables'!$B$38:$B$45</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52A1-4868-B111-F71C2B6298BA}"/>
            </c:ext>
          </c:extLst>
        </c:ser>
        <c:dLbls>
          <c:showLegendKey val="0"/>
          <c:showVal val="0"/>
          <c:showCatName val="0"/>
          <c:showSerName val="0"/>
          <c:showPercent val="0"/>
          <c:showBubbleSize val="0"/>
        </c:dLbls>
        <c:gapWidth val="182"/>
        <c:axId val="199446927"/>
        <c:axId val="199447407"/>
      </c:barChart>
      <c:catAx>
        <c:axId val="19944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47407"/>
        <c:crosses val="autoZero"/>
        <c:auto val="1"/>
        <c:lblAlgn val="ctr"/>
        <c:lblOffset val="100"/>
        <c:noMultiLvlLbl val="0"/>
      </c:catAx>
      <c:valAx>
        <c:axId val="199447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4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[Excel_Jumia_Assignment.xlsx]compbtwndisc&amp;avgrating&amp;rev!PivotTable5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a:t>
            </a:r>
            <a:r>
              <a:rPr lang="en-US" baseline="0"/>
              <a:t> between Discount Category, Average Rating &amp; No. of Reviews </a:t>
            </a:r>
            <a:endParaRPr lang="en-US"/>
          </a:p>
        </c:rich>
      </c:tx>
      <c:layout>
        <c:manualLayout>
          <c:xMode val="edge"/>
          <c:yMode val="edge"/>
          <c:x val="0.13473829423199232"/>
          <c:y val="1.7100108794392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'compbtwndisc&amp;avgrating&amp;rev'!$B$3</c:f>
              <c:strCache>
                <c:ptCount val="1"/>
                <c:pt idx="0">
                  <c:v>Count of Review</c:v>
                </c:pt>
              </c:strCache>
            </c:strRef>
          </c:tx>
          <c:spPr>
            <a:solidFill>
              <a:schemeClr val="accent1"/>
            </a:solidFill>
            <a:ln>
              <a:noFill/>
            </a:ln>
            <a:effectLst/>
          </c:spPr>
          <c:invertIfNegative val="0"/>
          <c:cat>
            <c:strRef>
              <c:f>'compbtwndisc&amp;avgrating&amp;rev'!$A$4:$A$7</c:f>
              <c:strCache>
                <c:ptCount val="3"/>
                <c:pt idx="0">
                  <c:v>High Discount</c:v>
                </c:pt>
                <c:pt idx="1">
                  <c:v>Low Discount</c:v>
                </c:pt>
                <c:pt idx="2">
                  <c:v>Medium Discount</c:v>
                </c:pt>
              </c:strCache>
            </c:strRef>
          </c:cat>
          <c:val>
            <c:numRef>
              <c:f>'compbtwndisc&amp;avgrating&amp;rev'!$B$4:$B$7</c:f>
              <c:numCache>
                <c:formatCode>General</c:formatCode>
                <c:ptCount val="3"/>
                <c:pt idx="0">
                  <c:v>63</c:v>
                </c:pt>
                <c:pt idx="1">
                  <c:v>18</c:v>
                </c:pt>
                <c:pt idx="2">
                  <c:v>31</c:v>
                </c:pt>
              </c:numCache>
            </c:numRef>
          </c:val>
          <c:extLst>
            <c:ext xmlns:c16="http://schemas.microsoft.com/office/drawing/2014/chart" uri="{C3380CC4-5D6E-409C-BE32-E72D297353CC}">
              <c16:uniqueId val="{00000000-791F-42A8-9BC8-7ED3EDF1DF3E}"/>
            </c:ext>
          </c:extLst>
        </c:ser>
        <c:ser>
          <c:idx val="1"/>
          <c:order val="1"/>
          <c:tx>
            <c:strRef>
              <c:f>'compbtwndisc&amp;avgrating&amp;rev'!$C$3</c:f>
              <c:strCache>
                <c:ptCount val="1"/>
                <c:pt idx="0">
                  <c:v>Average of Rating</c:v>
                </c:pt>
              </c:strCache>
            </c:strRef>
          </c:tx>
          <c:spPr>
            <a:solidFill>
              <a:schemeClr val="accent2"/>
            </a:solidFill>
            <a:ln>
              <a:noFill/>
            </a:ln>
            <a:effectLst/>
          </c:spPr>
          <c:invertIfNegative val="0"/>
          <c:cat>
            <c:strRef>
              <c:f>'compbtwndisc&amp;avgrating&amp;rev'!$A$4:$A$7</c:f>
              <c:strCache>
                <c:ptCount val="3"/>
                <c:pt idx="0">
                  <c:v>High Discount</c:v>
                </c:pt>
                <c:pt idx="1">
                  <c:v>Low Discount</c:v>
                </c:pt>
                <c:pt idx="2">
                  <c:v>Medium Discount</c:v>
                </c:pt>
              </c:strCache>
            </c:strRef>
          </c:cat>
          <c:val>
            <c:numRef>
              <c:f>'compbtwndisc&amp;avgrating&amp;rev'!$C$4:$C$7</c:f>
              <c:numCache>
                <c:formatCode>0.0</c:formatCode>
                <c:ptCount val="3"/>
                <c:pt idx="0">
                  <c:v>3.6580645161290311</c:v>
                </c:pt>
                <c:pt idx="1">
                  <c:v>3.7249999999999996</c:v>
                </c:pt>
                <c:pt idx="2">
                  <c:v>4.245454545454546</c:v>
                </c:pt>
              </c:numCache>
            </c:numRef>
          </c:val>
          <c:extLst>
            <c:ext xmlns:c16="http://schemas.microsoft.com/office/drawing/2014/chart" uri="{C3380CC4-5D6E-409C-BE32-E72D297353CC}">
              <c16:uniqueId val="{00000001-791F-42A8-9BC8-7ED3EDF1DF3E}"/>
            </c:ext>
          </c:extLst>
        </c:ser>
        <c:dLbls>
          <c:showLegendKey val="0"/>
          <c:showVal val="0"/>
          <c:showCatName val="0"/>
          <c:showSerName val="0"/>
          <c:showPercent val="0"/>
          <c:showBubbleSize val="0"/>
        </c:dLbls>
        <c:gapWidth val="182"/>
        <c:axId val="824733536"/>
        <c:axId val="824732576"/>
      </c:barChart>
      <c:catAx>
        <c:axId val="824733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732576"/>
        <c:crosses val="autoZero"/>
        <c:auto val="1"/>
        <c:lblAlgn val="ctr"/>
        <c:lblOffset val="100"/>
        <c:noMultiLvlLbl val="0"/>
      </c:catAx>
      <c:valAx>
        <c:axId val="824732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No.of Reviews</a:t>
                </a:r>
                <a:r>
                  <a:rPr lang="en-US" baseline="0"/>
                  <a:t> &amp; Avg Rating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73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[Excel_Jumia_Assignment.xlsx]Pivot Tables!PivotTable1</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200"/>
              <a:t>Top 10 Products by Discount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8F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rgbClr val="EE8F04"/>
            </a:solidFill>
            <a:ln>
              <a:noFill/>
            </a:ln>
            <a:effectLst/>
          </c:spPr>
          <c:invertIfNegative val="0"/>
          <c:cat>
            <c:strRef>
              <c:f>'Pivot Tables'!$A$4:$A$15</c:f>
              <c:strCache>
                <c:ptCount val="11"/>
                <c:pt idx="0">
                  <c:v>Exfoliate And Exfoliate Face Towel - Black</c:v>
                </c:pt>
                <c:pt idx="1">
                  <c:v>Intelligent  LED Body Sensor Wireless Lighting Night Light USB</c:v>
                </c:pt>
                <c:pt idx="2">
                  <c:v>3PCS Single Head Knitting Crochet Sweater Needle Set</c:v>
                </c:pt>
                <c:pt idx="3">
                  <c:v>Classic Black Cat Cotton Hemp Pillow Case For Home Car</c:v>
                </c:pt>
                <c:pt idx="4">
                  <c:v>Mythco 120COB Solar Wall Ligt With Motion Sensor And Remote Control 3 Modes</c:v>
                </c:pt>
                <c:pt idx="5">
                  <c:v>LASA 3 Tier Bamboo Shoe Bench Storage Shelf</c:v>
                </c:pt>
                <c:pt idx="6">
                  <c:v>Simple Metal Dog Art Sculpture Decoration For Home Office</c:v>
                </c:pt>
                <c:pt idx="7">
                  <c:v>LASA FOLDING TABLE SERVING STAND</c:v>
                </c:pt>
                <c:pt idx="8">
                  <c:v>5-PCS Stainless Steel Cooking Pot Set With Steamed Slices</c:v>
                </c:pt>
                <c:pt idx="9">
                  <c:v>Creative Owl Shape Keychain Black</c:v>
                </c:pt>
                <c:pt idx="10">
                  <c:v>6 In 1 Bottle Can Opener Multifunctional Easy Opener</c:v>
                </c:pt>
              </c:strCache>
            </c:strRef>
          </c:cat>
          <c:val>
            <c:numRef>
              <c:f>'Pivot Tables'!$B$4:$B$15</c:f>
              <c:numCache>
                <c:formatCode>0%</c:formatCode>
                <c:ptCount val="11"/>
                <c:pt idx="0">
                  <c:v>0.52</c:v>
                </c:pt>
                <c:pt idx="1">
                  <c:v>0.52</c:v>
                </c:pt>
                <c:pt idx="2">
                  <c:v>0.53</c:v>
                </c:pt>
                <c:pt idx="3">
                  <c:v>0.53</c:v>
                </c:pt>
                <c:pt idx="4">
                  <c:v>0.54</c:v>
                </c:pt>
                <c:pt idx="5">
                  <c:v>0.54</c:v>
                </c:pt>
                <c:pt idx="6">
                  <c:v>0.55000000000000004</c:v>
                </c:pt>
                <c:pt idx="7">
                  <c:v>0.55000000000000004</c:v>
                </c:pt>
                <c:pt idx="8">
                  <c:v>0.55000000000000004</c:v>
                </c:pt>
                <c:pt idx="9">
                  <c:v>0.61</c:v>
                </c:pt>
                <c:pt idx="10">
                  <c:v>0.64</c:v>
                </c:pt>
              </c:numCache>
            </c:numRef>
          </c:val>
          <c:extLst>
            <c:ext xmlns:c16="http://schemas.microsoft.com/office/drawing/2014/chart" uri="{C3380CC4-5D6E-409C-BE32-E72D297353CC}">
              <c16:uniqueId val="{00000000-9F8A-4F83-9F52-9CF9F6D36B50}"/>
            </c:ext>
          </c:extLst>
        </c:ser>
        <c:dLbls>
          <c:showLegendKey val="0"/>
          <c:showVal val="0"/>
          <c:showCatName val="0"/>
          <c:showSerName val="0"/>
          <c:showPercent val="0"/>
          <c:showBubbleSize val="0"/>
        </c:dLbls>
        <c:gapWidth val="182"/>
        <c:axId val="203756207"/>
        <c:axId val="203753807"/>
      </c:barChart>
      <c:catAx>
        <c:axId val="20375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203753807"/>
        <c:crosses val="autoZero"/>
        <c:auto val="1"/>
        <c:lblAlgn val="ctr"/>
        <c:lblOffset val="100"/>
        <c:noMultiLvlLbl val="0"/>
      </c:catAx>
      <c:valAx>
        <c:axId val="2037538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20375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[Excel_Jumia_Assignment.xlsx]Pivot Tables!PivotTable2</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200"/>
              <a:t>Top 10 Products by Reviews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8F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Tables'!$B$21</c:f>
              <c:strCache>
                <c:ptCount val="1"/>
                <c:pt idx="0">
                  <c:v>Total</c:v>
                </c:pt>
              </c:strCache>
            </c:strRef>
          </c:tx>
          <c:spPr>
            <a:solidFill>
              <a:srgbClr val="EE8F04"/>
            </a:solidFill>
            <a:ln>
              <a:noFill/>
            </a:ln>
            <a:effectLst/>
          </c:spPr>
          <c:invertIfNegative val="0"/>
          <c:cat>
            <c:strRef>
              <c:f>'Pivot Tables'!$A$22:$A$32</c:f>
              <c:strCache>
                <c:ptCount val="10"/>
                <c:pt idx="0">
                  <c:v>52 Pieces Cake Decorating Tool Set Gift Kit Baking Supplies</c:v>
                </c:pt>
                <c:pt idx="1">
                  <c:v>53Pcs/Set Yarn Knitting Crochet Hooks With Bag - Fortune Cat</c:v>
                </c:pt>
                <c:pt idx="2">
                  <c:v>Portable Mini Cordless Car Vacuum Cleaner - Blue</c:v>
                </c:pt>
                <c:pt idx="3">
                  <c:v>53 Pieces/Set Yarn Knitting Crochet Hooks With Bag - Pansies</c:v>
                </c:pt>
                <c:pt idx="4">
                  <c:v>Punch-free Great Load Bearing Bathroom Storage Rack Wall Shelf-White</c:v>
                </c:pt>
                <c:pt idx="5">
                  <c:v>100 Pcs Crochet Hook Tool Set Knitting Hook Set With Box</c:v>
                </c:pt>
                <c:pt idx="6">
                  <c:v>3D Waterproof EVA Plastic Shower Curtain 1.8*2Mtrs</c:v>
                </c:pt>
                <c:pt idx="7">
                  <c:v>Electronic Digital Display Vernier Caliper</c:v>
                </c:pt>
                <c:pt idx="8">
                  <c:v>137 Pieces Cake Decorating Tool Set Baking Supplies</c:v>
                </c:pt>
                <c:pt idx="9">
                  <c:v>120W Cordless Vacuum Cleaners Handheld Electric Vacuum Cleaner</c:v>
                </c:pt>
              </c:strCache>
            </c:strRef>
          </c:cat>
          <c:val>
            <c:numRef>
              <c:f>'Pivot Tables'!$B$22:$B$32</c:f>
              <c:numCache>
                <c:formatCode>General</c:formatCode>
                <c:ptCount val="10"/>
                <c:pt idx="0">
                  <c:v>20</c:v>
                </c:pt>
                <c:pt idx="1">
                  <c:v>20</c:v>
                </c:pt>
                <c:pt idx="2">
                  <c:v>24</c:v>
                </c:pt>
                <c:pt idx="3">
                  <c:v>32</c:v>
                </c:pt>
                <c:pt idx="4">
                  <c:v>36</c:v>
                </c:pt>
                <c:pt idx="5">
                  <c:v>39</c:v>
                </c:pt>
                <c:pt idx="6">
                  <c:v>44</c:v>
                </c:pt>
                <c:pt idx="7">
                  <c:v>49</c:v>
                </c:pt>
                <c:pt idx="8">
                  <c:v>55</c:v>
                </c:pt>
                <c:pt idx="9">
                  <c:v>69</c:v>
                </c:pt>
              </c:numCache>
            </c:numRef>
          </c:val>
          <c:extLst>
            <c:ext xmlns:c16="http://schemas.microsoft.com/office/drawing/2014/chart" uri="{C3380CC4-5D6E-409C-BE32-E72D297353CC}">
              <c16:uniqueId val="{00000000-FC2F-4D03-B89F-A93148E545BA}"/>
            </c:ext>
          </c:extLst>
        </c:ser>
        <c:dLbls>
          <c:showLegendKey val="0"/>
          <c:showVal val="0"/>
          <c:showCatName val="0"/>
          <c:showSerName val="0"/>
          <c:showPercent val="0"/>
          <c:showBubbleSize val="0"/>
        </c:dLbls>
        <c:gapWidth val="182"/>
        <c:axId val="234666191"/>
        <c:axId val="234668591"/>
      </c:barChart>
      <c:catAx>
        <c:axId val="23466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234668591"/>
        <c:crosses val="autoZero"/>
        <c:auto val="1"/>
        <c:lblAlgn val="ctr"/>
        <c:lblOffset val="100"/>
        <c:noMultiLvlLbl val="0"/>
      </c:catAx>
      <c:valAx>
        <c:axId val="234668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23466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[Excel_Jumia_Assignment.xlsx]Pivot Tables!PivotTable3</c:name>
    <c:fmtId val="4"/>
  </c:pivotSource>
  <c:chart>
    <c:title>
      <c:tx>
        <c:rich>
          <a:bodyPr rot="0" spcFirstLastPara="1" vertOverflow="ellipsis" vert="horz" wrap="square" anchor="ctr" anchorCtr="1"/>
          <a:lstStyle/>
          <a:p>
            <a:pPr algn="ctr" rtl="0">
              <a:defRPr lang="en-US" sz="12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200"/>
              <a:t>Top 5 Highest Rated Products</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8F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Tables'!$B$37</c:f>
              <c:strCache>
                <c:ptCount val="1"/>
                <c:pt idx="0">
                  <c:v>Total</c:v>
                </c:pt>
              </c:strCache>
            </c:strRef>
          </c:tx>
          <c:spPr>
            <a:solidFill>
              <a:srgbClr val="EE8F04"/>
            </a:solidFill>
            <a:ln>
              <a:noFill/>
            </a:ln>
            <a:effectLst/>
          </c:spPr>
          <c:invertIfNegative val="0"/>
          <c:cat>
            <c:strRef>
              <c:f>'Pivot Tables'!$A$38:$A$45</c:f>
              <c:strCache>
                <c:ptCount val="7"/>
                <c:pt idx="0">
                  <c:v>Anti-Skid Absorbent Insulation Coaster  For Home Office</c:v>
                </c:pt>
                <c:pt idx="1">
                  <c:v>Bedroom Simple Floor Hanging Clothes Rack Single Pole Hat Rack - White</c:v>
                </c:pt>
                <c:pt idx="2">
                  <c:v>Classic Black Cat Cotton Hemp Pillow Case For Home Car</c:v>
                </c:pt>
                <c:pt idx="3">
                  <c:v>DIY File Folder, Office Drawer File Holder, Pen Holder, Desktop Storage Rack</c:v>
                </c:pt>
                <c:pt idx="4">
                  <c:v>Konka Healty Electric Kettle, 24-hour Heat Preservation,1.5L,800W, White</c:v>
                </c:pt>
                <c:pt idx="5">
                  <c:v>LASA Aluminum Folding Truck Hand Cart - 68kg Max</c:v>
                </c:pt>
                <c:pt idx="6">
                  <c:v>Peacock  Throw Pillow Cushion Case For Home Car</c:v>
                </c:pt>
              </c:strCache>
            </c:strRef>
          </c:cat>
          <c:val>
            <c:numRef>
              <c:f>'Pivot Tables'!$B$38:$B$45</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7E4F-4498-9367-368E9B0C286B}"/>
            </c:ext>
          </c:extLst>
        </c:ser>
        <c:dLbls>
          <c:showLegendKey val="0"/>
          <c:showVal val="0"/>
          <c:showCatName val="0"/>
          <c:showSerName val="0"/>
          <c:showPercent val="0"/>
          <c:showBubbleSize val="0"/>
        </c:dLbls>
        <c:gapWidth val="182"/>
        <c:axId val="199446927"/>
        <c:axId val="199447407"/>
      </c:barChart>
      <c:catAx>
        <c:axId val="19944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99447407"/>
        <c:crosses val="autoZero"/>
        <c:auto val="1"/>
        <c:lblAlgn val="ctr"/>
        <c:lblOffset val="100"/>
        <c:noMultiLvlLbl val="0"/>
      </c:catAx>
      <c:valAx>
        <c:axId val="199447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9944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lgn="ctr">
        <a:defRPr lang="en-US"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[Excel_Jumia_Assignment.xlsx]compbtwndisc&amp;avgrating&amp;rev!PivotTable5</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200"/>
              <a:t>Comparison between Discount Category, Average Rating &amp; No. of Reviews </a:t>
            </a:r>
          </a:p>
        </c:rich>
      </c:tx>
      <c:layout>
        <c:manualLayout>
          <c:xMode val="edge"/>
          <c:yMode val="edge"/>
          <c:x val="0.13473829423199232"/>
          <c:y val="1.71001087943929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E8F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'compbtwndisc&amp;avgrating&amp;rev'!$B$3</c:f>
              <c:strCache>
                <c:ptCount val="1"/>
                <c:pt idx="0">
                  <c:v>Count of Review</c:v>
                </c:pt>
              </c:strCache>
            </c:strRef>
          </c:tx>
          <c:spPr>
            <a:solidFill>
              <a:srgbClr val="EE8F04"/>
            </a:solidFill>
            <a:ln>
              <a:noFill/>
            </a:ln>
            <a:effectLst/>
          </c:spPr>
          <c:invertIfNegative val="0"/>
          <c:cat>
            <c:strRef>
              <c:f>'compbtwndisc&amp;avgrating&amp;rev'!$A$4:$A$7</c:f>
              <c:strCache>
                <c:ptCount val="3"/>
                <c:pt idx="0">
                  <c:v>High Discount</c:v>
                </c:pt>
                <c:pt idx="1">
                  <c:v>Low Discount</c:v>
                </c:pt>
                <c:pt idx="2">
                  <c:v>Medium Discount</c:v>
                </c:pt>
              </c:strCache>
            </c:strRef>
          </c:cat>
          <c:val>
            <c:numRef>
              <c:f>'compbtwndisc&amp;avgrating&amp;rev'!$B$4:$B$7</c:f>
              <c:numCache>
                <c:formatCode>General</c:formatCode>
                <c:ptCount val="3"/>
                <c:pt idx="0">
                  <c:v>63</c:v>
                </c:pt>
                <c:pt idx="1">
                  <c:v>18</c:v>
                </c:pt>
                <c:pt idx="2">
                  <c:v>31</c:v>
                </c:pt>
              </c:numCache>
            </c:numRef>
          </c:val>
          <c:extLst>
            <c:ext xmlns:c16="http://schemas.microsoft.com/office/drawing/2014/chart" uri="{C3380CC4-5D6E-409C-BE32-E72D297353CC}">
              <c16:uniqueId val="{00000000-7AE3-4309-883F-C92D81006E6E}"/>
            </c:ext>
          </c:extLst>
        </c:ser>
        <c:ser>
          <c:idx val="1"/>
          <c:order val="1"/>
          <c:tx>
            <c:strRef>
              <c:f>'compbtwndisc&amp;avgrating&amp;rev'!$C$3</c:f>
              <c:strCache>
                <c:ptCount val="1"/>
                <c:pt idx="0">
                  <c:v>Average of Rating</c:v>
                </c:pt>
              </c:strCache>
            </c:strRef>
          </c:tx>
          <c:spPr>
            <a:solidFill>
              <a:schemeClr val="accent2">
                <a:tint val="77000"/>
              </a:schemeClr>
            </a:solidFill>
            <a:ln>
              <a:noFill/>
            </a:ln>
            <a:effectLst/>
          </c:spPr>
          <c:invertIfNegative val="0"/>
          <c:cat>
            <c:strRef>
              <c:f>'compbtwndisc&amp;avgrating&amp;rev'!$A$4:$A$7</c:f>
              <c:strCache>
                <c:ptCount val="3"/>
                <c:pt idx="0">
                  <c:v>High Discount</c:v>
                </c:pt>
                <c:pt idx="1">
                  <c:v>Low Discount</c:v>
                </c:pt>
                <c:pt idx="2">
                  <c:v>Medium Discount</c:v>
                </c:pt>
              </c:strCache>
            </c:strRef>
          </c:cat>
          <c:val>
            <c:numRef>
              <c:f>'compbtwndisc&amp;avgrating&amp;rev'!$C$4:$C$7</c:f>
              <c:numCache>
                <c:formatCode>0.0</c:formatCode>
                <c:ptCount val="3"/>
                <c:pt idx="0">
                  <c:v>3.6580645161290311</c:v>
                </c:pt>
                <c:pt idx="1">
                  <c:v>3.7249999999999996</c:v>
                </c:pt>
                <c:pt idx="2">
                  <c:v>4.245454545454546</c:v>
                </c:pt>
              </c:numCache>
            </c:numRef>
          </c:val>
          <c:extLst>
            <c:ext xmlns:c16="http://schemas.microsoft.com/office/drawing/2014/chart" uri="{C3380CC4-5D6E-409C-BE32-E72D297353CC}">
              <c16:uniqueId val="{00000001-7AE3-4309-883F-C92D81006E6E}"/>
            </c:ext>
          </c:extLst>
        </c:ser>
        <c:dLbls>
          <c:showLegendKey val="0"/>
          <c:showVal val="0"/>
          <c:showCatName val="0"/>
          <c:showSerName val="0"/>
          <c:showPercent val="0"/>
          <c:showBubbleSize val="0"/>
        </c:dLbls>
        <c:gapWidth val="182"/>
        <c:axId val="824733536"/>
        <c:axId val="824732576"/>
      </c:barChart>
      <c:catAx>
        <c:axId val="824733536"/>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Aptos Narrow" panose="020B0004020202020204" pitchFamily="34" charset="0"/>
                    <a:ea typeface="+mn-ea"/>
                    <a:cs typeface="+mn-cs"/>
                  </a:defRPr>
                </a:pPr>
                <a:r>
                  <a:rPr lang="en-US" sz="1200"/>
                  <a:t>Discount Category</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824732576"/>
        <c:crosses val="autoZero"/>
        <c:auto val="1"/>
        <c:lblAlgn val="ctr"/>
        <c:lblOffset val="100"/>
        <c:noMultiLvlLbl val="0"/>
      </c:catAx>
      <c:valAx>
        <c:axId val="824732576"/>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ptos Narrow" panose="020B0004020202020204" pitchFamily="34" charset="0"/>
                    <a:ea typeface="+mn-ea"/>
                    <a:cs typeface="+mn-cs"/>
                  </a:defRPr>
                </a:pPr>
                <a:r>
                  <a:rPr lang="en-US" sz="1200"/>
                  <a:t>No.of Reviews &amp; Avg Rating</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82473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Relationship between Discount</a:t>
            </a:r>
            <a:r>
              <a:rPr lang="en-US" sz="1200" baseline="0"/>
              <a:t> Percentage &amp; No. of Reviews</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Excel_jumia!$G$1</c:f>
              <c:strCache>
                <c:ptCount val="1"/>
                <c:pt idx="0">
                  <c:v>Review</c:v>
                </c:pt>
              </c:strCache>
            </c:strRef>
          </c:tx>
          <c:spPr>
            <a:ln w="19050" cap="rnd">
              <a:noFill/>
              <a:round/>
            </a:ln>
            <a:effectLst/>
          </c:spPr>
          <c:marker>
            <c:symbol val="circle"/>
            <c:size val="5"/>
            <c:spPr>
              <a:solidFill>
                <a:srgbClr val="EE8F04"/>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1"/>
            <c:dispEq val="0"/>
            <c:trendlineLbl>
              <c:layout>
                <c:manualLayout>
                  <c:x val="7.4888660323378292E-2"/>
                  <c:y val="-7.130478324549653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2"/>
                </a:solidFill>
                <a:prstDash val="sysDot"/>
              </a:ln>
              <a:effectLst/>
            </c:spPr>
            <c:trendlineType val="linear"/>
            <c:dispRSqr val="0"/>
            <c:dispEq val="0"/>
          </c:trendline>
          <c:trendline>
            <c:spPr>
              <a:ln w="19050" cap="rnd">
                <a:solidFill>
                  <a:schemeClr val="tx1">
                    <a:lumMod val="75000"/>
                    <a:lumOff val="25000"/>
                  </a:schemeClr>
                </a:solidFill>
                <a:prstDash val="sysDot"/>
              </a:ln>
              <a:effectLst/>
            </c:spPr>
            <c:trendlineType val="linear"/>
            <c:dispRSqr val="0"/>
            <c:dispEq val="1"/>
            <c:trendlineLbl>
              <c:layout>
                <c:manualLayout>
                  <c:x val="8.0087654564559546E-2"/>
                  <c:y val="-3.738851403510968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Excel_jumia!$D$2:$D$113</c:f>
              <c:numCache>
                <c:formatCode>0%</c:formatCode>
                <c:ptCount val="112"/>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Excel_jumia!$G$2:$G$113</c:f>
              <c:numCache>
                <c:formatCode>General</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4-620B-4F2E-95FF-ED6BCBBB490E}"/>
            </c:ext>
          </c:extLst>
        </c:ser>
        <c:dLbls>
          <c:showLegendKey val="0"/>
          <c:showVal val="0"/>
          <c:showCatName val="0"/>
          <c:showSerName val="0"/>
          <c:showPercent val="0"/>
          <c:showBubbleSize val="0"/>
        </c:dLbls>
        <c:axId val="656508384"/>
        <c:axId val="656492064"/>
      </c:scatterChart>
      <c:valAx>
        <c:axId val="656508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Discount</a:t>
                </a:r>
                <a:r>
                  <a:rPr lang="en-US" sz="1200" baseline="0"/>
                  <a:t> Percentage</a:t>
                </a:r>
                <a:endParaRPr lang="en-US"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492064"/>
        <c:crosses val="autoZero"/>
        <c:crossBetween val="midCat"/>
      </c:valAx>
      <c:valAx>
        <c:axId val="656492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Reviews </a:t>
                </a:r>
              </a:p>
            </c:rich>
          </c:tx>
          <c:layout>
            <c:manualLayout>
              <c:xMode val="edge"/>
              <c:yMode val="edge"/>
              <c:x val="1.3864116965907967E-2"/>
              <c:y val="0.44596703034720692"/>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08384"/>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[Excel_Jumia_Assignment.xlsx]RltnshpRating&amp;No.ofReviews!PivotTable14</c:name>
    <c:fmtId val="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Relationship between Ratings and No.of Reviews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8F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'RltnshpRating&amp;No.ofReviews'!$B$3</c:f>
              <c:strCache>
                <c:ptCount val="1"/>
                <c:pt idx="0">
                  <c:v>Total</c:v>
                </c:pt>
              </c:strCache>
            </c:strRef>
          </c:tx>
          <c:spPr>
            <a:solidFill>
              <a:srgbClr val="EE8F04"/>
            </a:solidFill>
            <a:ln>
              <a:noFill/>
            </a:ln>
            <a:effectLst/>
          </c:spPr>
          <c:invertIfNegative val="0"/>
          <c:cat>
            <c:strRef>
              <c:f>'RltnshpRating&amp;No.ofReviews'!$A$4:$A$27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null</c:v>
                </c:pt>
              </c:strCache>
            </c:strRef>
          </c:cat>
          <c:val>
            <c:numRef>
              <c:f>'RltnshpRating&amp;No.ofReviews'!$B$4:$B$27</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pt idx="22">
                  <c:v>0</c:v>
                </c:pt>
              </c:numCache>
            </c:numRef>
          </c:val>
          <c:extLst>
            <c:ext xmlns:c16="http://schemas.microsoft.com/office/drawing/2014/chart" uri="{C3380CC4-5D6E-409C-BE32-E72D297353CC}">
              <c16:uniqueId val="{00000000-3C89-4BE6-97C4-16D480628A6C}"/>
            </c:ext>
          </c:extLst>
        </c:ser>
        <c:dLbls>
          <c:showLegendKey val="0"/>
          <c:showVal val="0"/>
          <c:showCatName val="0"/>
          <c:showSerName val="0"/>
          <c:showPercent val="0"/>
          <c:showBubbleSize val="0"/>
        </c:dLbls>
        <c:gapWidth val="219"/>
        <c:overlap val="-27"/>
        <c:axId val="656541984"/>
        <c:axId val="656542464"/>
      </c:barChart>
      <c:catAx>
        <c:axId val="656541984"/>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Ratings</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42464"/>
        <c:crosses val="autoZero"/>
        <c:auto val="1"/>
        <c:lblAlgn val="ctr"/>
        <c:lblOffset val="100"/>
        <c:noMultiLvlLbl val="0"/>
      </c:catAx>
      <c:valAx>
        <c:axId val="656542464"/>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No.</a:t>
                </a:r>
                <a:r>
                  <a:rPr lang="en-US" sz="1200" baseline="0"/>
                  <a:t> of Reviews</a:t>
                </a:r>
                <a:endParaRPr lang="en-US"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41984"/>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hyperlink" Target="https://io.hsoub.com/ecommerce" TargetMode="Externa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496377</xdr:colOff>
      <xdr:row>1</xdr:row>
      <xdr:rowOff>95250</xdr:rowOff>
    </xdr:from>
    <xdr:to>
      <xdr:col>18</xdr:col>
      <xdr:colOff>269874</xdr:colOff>
      <xdr:row>34</xdr:row>
      <xdr:rowOff>114300</xdr:rowOff>
    </xdr:to>
    <xdr:graphicFrame macro="">
      <xdr:nvGraphicFramePr>
        <xdr:cNvPr id="2" name="Chart 2">
          <a:extLst>
            <a:ext uri="{FF2B5EF4-FFF2-40B4-BE49-F238E27FC236}">
              <a16:creationId xmlns:a16="http://schemas.microsoft.com/office/drawing/2014/main" id="{B88D4D82-BABD-AD93-5C98-B5A32851E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590550</xdr:colOff>
      <xdr:row>2</xdr:row>
      <xdr:rowOff>9525</xdr:rowOff>
    </xdr:from>
    <xdr:to>
      <xdr:col>16</xdr:col>
      <xdr:colOff>380999</xdr:colOff>
      <xdr:row>25</xdr:row>
      <xdr:rowOff>28575</xdr:rowOff>
    </xdr:to>
    <xdr:graphicFrame macro="">
      <xdr:nvGraphicFramePr>
        <xdr:cNvPr id="2" name="Chart 1">
          <a:extLst>
            <a:ext uri="{FF2B5EF4-FFF2-40B4-BE49-F238E27FC236}">
              <a16:creationId xmlns:a16="http://schemas.microsoft.com/office/drawing/2014/main" id="{54F177E3-664D-ABBA-ED37-8BC9A7556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138792</xdr:colOff>
      <xdr:row>11</xdr:row>
      <xdr:rowOff>80509</xdr:rowOff>
    </xdr:from>
    <xdr:to>
      <xdr:col>17</xdr:col>
      <xdr:colOff>134711</xdr:colOff>
      <xdr:row>26</xdr:row>
      <xdr:rowOff>109537</xdr:rowOff>
    </xdr:to>
    <xdr:graphicFrame macro="">
      <xdr:nvGraphicFramePr>
        <xdr:cNvPr id="2" name="Chart 1">
          <a:extLst>
            <a:ext uri="{FF2B5EF4-FFF2-40B4-BE49-F238E27FC236}">
              <a16:creationId xmlns:a16="http://schemas.microsoft.com/office/drawing/2014/main" id="{568ADD9B-05A0-0519-B536-3B19087B6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233815</xdr:colOff>
      <xdr:row>28</xdr:row>
      <xdr:rowOff>25625</xdr:rowOff>
    </xdr:from>
    <xdr:to>
      <xdr:col>17</xdr:col>
      <xdr:colOff>232909</xdr:colOff>
      <xdr:row>44</xdr:row>
      <xdr:rowOff>57376</xdr:rowOff>
    </xdr:to>
    <xdr:graphicFrame macro="">
      <xdr:nvGraphicFramePr>
        <xdr:cNvPr id="3" name="Chart 2">
          <a:extLst>
            <a:ext uri="{FF2B5EF4-FFF2-40B4-BE49-F238E27FC236}">
              <a16:creationId xmlns:a16="http://schemas.microsoft.com/office/drawing/2014/main" id="{83A7AD45-F697-26F2-7058-CFE75525A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90033</xdr:colOff>
      <xdr:row>45</xdr:row>
      <xdr:rowOff>93208</xdr:rowOff>
    </xdr:from>
    <xdr:to>
      <xdr:col>17</xdr:col>
      <xdr:colOff>89127</xdr:colOff>
      <xdr:row>60</xdr:row>
      <xdr:rowOff>124958</xdr:rowOff>
    </xdr:to>
    <xdr:graphicFrame macro="">
      <xdr:nvGraphicFramePr>
        <xdr:cNvPr id="4" name="Chart 3">
          <a:extLst>
            <a:ext uri="{FF2B5EF4-FFF2-40B4-BE49-F238E27FC236}">
              <a16:creationId xmlns:a16="http://schemas.microsoft.com/office/drawing/2014/main" id="{630727C9-4659-3EEE-3A11-6EABF33DD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15875</xdr:colOff>
      <xdr:row>2</xdr:row>
      <xdr:rowOff>0</xdr:rowOff>
    </xdr:from>
    <xdr:to>
      <xdr:col>13</xdr:col>
      <xdr:colOff>111125</xdr:colOff>
      <xdr:row>23</xdr:row>
      <xdr:rowOff>114300</xdr:rowOff>
    </xdr:to>
    <xdr:graphicFrame macro="">
      <xdr:nvGraphicFramePr>
        <xdr:cNvPr id="2" name="Chart 1">
          <a:extLst>
            <a:ext uri="{FF2B5EF4-FFF2-40B4-BE49-F238E27FC236}">
              <a16:creationId xmlns:a16="http://schemas.microsoft.com/office/drawing/2014/main" id="{CF981E36-05E3-34FA-19C9-3180EEB4D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7</xdr:row>
      <xdr:rowOff>82550</xdr:rowOff>
    </xdr:from>
    <xdr:to>
      <xdr:col>1</xdr:col>
      <xdr:colOff>904875</xdr:colOff>
      <xdr:row>14</xdr:row>
      <xdr:rowOff>9525</xdr:rowOff>
    </xdr:to>
    <mc:AlternateContent xmlns:mc="http://schemas.openxmlformats.org/markup-compatibility/2006" xmlns:a14="http://schemas.microsoft.com/office/drawing/2010/main">
      <mc:Choice Requires="a14">
        <xdr:graphicFrame macro="">
          <xdr:nvGraphicFramePr>
            <xdr:cNvPr id="2" name="Discount Category">
              <a:extLst>
                <a:ext uri="{FF2B5EF4-FFF2-40B4-BE49-F238E27FC236}">
                  <a16:creationId xmlns:a16="http://schemas.microsoft.com/office/drawing/2014/main" id="{0350DD43-1369-AD72-6BE1-F9D098817D0F}"/>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139700" y="1352550"/>
              <a:ext cx="1828800" cy="118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6350</xdr:colOff>
      <xdr:row>7</xdr:row>
      <xdr:rowOff>19050</xdr:rowOff>
    </xdr:from>
    <xdr:to>
      <xdr:col>3</xdr:col>
      <xdr:colOff>571500</xdr:colOff>
      <xdr:row>15</xdr:row>
      <xdr:rowOff>0</xdr:rowOff>
    </xdr:to>
    <mc:AlternateContent xmlns:mc="http://schemas.openxmlformats.org/markup-compatibility/2006" xmlns:a14="http://schemas.microsoft.com/office/drawing/2010/main">
      <mc:Choice Requires="a14">
        <xdr:graphicFrame macro="">
          <xdr:nvGraphicFramePr>
            <xdr:cNvPr id="3" name="Rating Category">
              <a:extLst>
                <a:ext uri="{FF2B5EF4-FFF2-40B4-BE49-F238E27FC236}">
                  <a16:creationId xmlns:a16="http://schemas.microsoft.com/office/drawing/2014/main" id="{A18F0DDA-215E-12AA-F383-67D41DF9AC3B}"/>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2190750" y="1285875"/>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0</xdr:row>
      <xdr:rowOff>0</xdr:rowOff>
    </xdr:from>
    <xdr:to>
      <xdr:col>25</xdr:col>
      <xdr:colOff>577850</xdr:colOff>
      <xdr:row>41</xdr:row>
      <xdr:rowOff>158750</xdr:rowOff>
    </xdr:to>
    <xdr:sp macro="" textlink="">
      <xdr:nvSpPr>
        <xdr:cNvPr id="3" name="Rectangle 2">
          <a:extLst>
            <a:ext uri="{FF2B5EF4-FFF2-40B4-BE49-F238E27FC236}">
              <a16:creationId xmlns:a16="http://schemas.microsoft.com/office/drawing/2014/main" id="{D74F31CD-9AF8-4B64-95A1-C817AA4882F4}"/>
            </a:ext>
          </a:extLst>
        </xdr:cNvPr>
        <xdr:cNvSpPr/>
      </xdr:nvSpPr>
      <xdr:spPr>
        <a:xfrm>
          <a:off x="1638300" y="0"/>
          <a:ext cx="13989050" cy="7578725"/>
        </a:xfrm>
        <a:prstGeom prst="rect">
          <a:avLst/>
        </a:prstGeom>
        <a:solidFill>
          <a:srgbClr val="FEF5EC"/>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84665</xdr:colOff>
      <xdr:row>41</xdr:row>
      <xdr:rowOff>171452</xdr:rowOff>
    </xdr:to>
    <xdr:sp macro="" textlink="">
      <xdr:nvSpPr>
        <xdr:cNvPr id="2" name="Rectangle 1">
          <a:extLst>
            <a:ext uri="{FF2B5EF4-FFF2-40B4-BE49-F238E27FC236}">
              <a16:creationId xmlns:a16="http://schemas.microsoft.com/office/drawing/2014/main" id="{13D93615-4EF6-BD15-7EE3-583F19773437}"/>
            </a:ext>
          </a:extLst>
        </xdr:cNvPr>
        <xdr:cNvSpPr/>
      </xdr:nvSpPr>
      <xdr:spPr>
        <a:xfrm>
          <a:off x="0" y="0"/>
          <a:ext cx="1725082" cy="7548035"/>
        </a:xfrm>
        <a:prstGeom prst="rect">
          <a:avLst/>
        </a:prstGeom>
        <a:solidFill>
          <a:srgbClr val="FB9C1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xdr:colOff>
      <xdr:row>6</xdr:row>
      <xdr:rowOff>78014</xdr:rowOff>
    </xdr:from>
    <xdr:to>
      <xdr:col>1</xdr:col>
      <xdr:colOff>1187450</xdr:colOff>
      <xdr:row>10</xdr:row>
      <xdr:rowOff>1814</xdr:rowOff>
    </xdr:to>
    <xdr:sp macro="" textlink="KPIs!H4">
      <xdr:nvSpPr>
        <xdr:cNvPr id="4" name="TextBox 3">
          <a:extLst>
            <a:ext uri="{FF2B5EF4-FFF2-40B4-BE49-F238E27FC236}">
              <a16:creationId xmlns:a16="http://schemas.microsoft.com/office/drawing/2014/main" id="{53247033-BD69-41ED-AE41-0AA43CB44D67}"/>
            </a:ext>
          </a:extLst>
        </xdr:cNvPr>
        <xdr:cNvSpPr txBox="1"/>
      </xdr:nvSpPr>
      <xdr:spPr>
        <a:xfrm>
          <a:off x="6350" y="1163864"/>
          <a:ext cx="1390650" cy="647700"/>
        </a:xfrm>
        <a:prstGeom prst="rect">
          <a:avLst/>
        </a:prstGeom>
        <a:solidFill>
          <a:srgbClr val="EE8F04">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A5D569-D6A7-4937-8A37-29DEBC2752A5}" type="TxLink">
            <a:rPr lang="en-US" sz="2800" b="1" i="0" u="none" strike="noStrike">
              <a:gradFill>
                <a:gsLst>
                  <a:gs pos="100000">
                    <a:schemeClr val="bg1">
                      <a:lumMod val="9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rPr>
            <a:pPr/>
            <a:t>112</a:t>
          </a:fld>
          <a:endParaRPr lang="en-US" sz="2800" b="1">
            <a:gradFill>
              <a:gsLst>
                <a:gs pos="100000">
                  <a:schemeClr val="bg1">
                    <a:lumMod val="9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Narrow" panose="020B0004020202020204" pitchFamily="34" charset="0"/>
          </a:endParaRPr>
        </a:p>
      </xdr:txBody>
    </xdr:sp>
    <xdr:clientData/>
  </xdr:twoCellAnchor>
  <xdr:twoCellAnchor>
    <xdr:from>
      <xdr:col>0</xdr:col>
      <xdr:colOff>6350</xdr:colOff>
      <xdr:row>11</xdr:row>
      <xdr:rowOff>75292</xdr:rowOff>
    </xdr:from>
    <xdr:to>
      <xdr:col>1</xdr:col>
      <xdr:colOff>1187450</xdr:colOff>
      <xdr:row>15</xdr:row>
      <xdr:rowOff>2267</xdr:rowOff>
    </xdr:to>
    <xdr:sp macro="" textlink="KPIs!I4">
      <xdr:nvSpPr>
        <xdr:cNvPr id="5" name="TextBox 4">
          <a:extLst>
            <a:ext uri="{FF2B5EF4-FFF2-40B4-BE49-F238E27FC236}">
              <a16:creationId xmlns:a16="http://schemas.microsoft.com/office/drawing/2014/main" id="{631110FB-0570-468D-B698-E51732F07203}"/>
            </a:ext>
          </a:extLst>
        </xdr:cNvPr>
        <xdr:cNvSpPr txBox="1"/>
      </xdr:nvSpPr>
      <xdr:spPr>
        <a:xfrm>
          <a:off x="6350" y="2066017"/>
          <a:ext cx="1390650" cy="650875"/>
        </a:xfrm>
        <a:prstGeom prst="rect">
          <a:avLst/>
        </a:prstGeom>
        <a:solidFill>
          <a:srgbClr val="EE8F04">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B76526-6F25-4566-A10E-229B171F1E9B}" type="TxLink">
            <a:rPr lang="en-US" sz="2800" b="1" i="0" u="none" strike="noStrike">
              <a:gradFill>
                <a:gsLst>
                  <a:gs pos="100000">
                    <a:schemeClr val="bg1">
                      <a:lumMod val="9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rPr>
            <a:pPr marL="0" indent="0"/>
            <a:t>3.9</a:t>
          </a:fld>
          <a:endParaRPr lang="en-US" sz="2800" b="1" i="0" u="none" strike="noStrike">
            <a:gradFill>
              <a:gsLst>
                <a:gs pos="100000">
                  <a:schemeClr val="bg1">
                    <a:lumMod val="9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endParaRPr>
        </a:p>
      </xdr:txBody>
    </xdr:sp>
    <xdr:clientData/>
  </xdr:twoCellAnchor>
  <xdr:twoCellAnchor>
    <xdr:from>
      <xdr:col>0</xdr:col>
      <xdr:colOff>6350</xdr:colOff>
      <xdr:row>16</xdr:row>
      <xdr:rowOff>78920</xdr:rowOff>
    </xdr:from>
    <xdr:to>
      <xdr:col>1</xdr:col>
      <xdr:colOff>1187450</xdr:colOff>
      <xdr:row>19</xdr:row>
      <xdr:rowOff>180520</xdr:rowOff>
    </xdr:to>
    <xdr:sp macro="" textlink="KPIs!J4">
      <xdr:nvSpPr>
        <xdr:cNvPr id="6" name="TextBox 5">
          <a:extLst>
            <a:ext uri="{FF2B5EF4-FFF2-40B4-BE49-F238E27FC236}">
              <a16:creationId xmlns:a16="http://schemas.microsoft.com/office/drawing/2014/main" id="{F9AC4C22-4282-4FB7-92F5-B61FF454865F}"/>
            </a:ext>
          </a:extLst>
        </xdr:cNvPr>
        <xdr:cNvSpPr txBox="1"/>
      </xdr:nvSpPr>
      <xdr:spPr>
        <a:xfrm>
          <a:off x="6350" y="2974520"/>
          <a:ext cx="1390650" cy="644525"/>
        </a:xfrm>
        <a:prstGeom prst="rect">
          <a:avLst/>
        </a:prstGeom>
        <a:solidFill>
          <a:srgbClr val="EE8F04">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1F2300F-696B-4EFA-8241-57D4D048F26B}" type="TxLink">
            <a:rPr lang="en-US" sz="2800" b="1" i="0" u="none" strike="noStrike">
              <a:gradFill>
                <a:gsLst>
                  <a:gs pos="100000">
                    <a:schemeClr val="bg1">
                      <a:lumMod val="9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rPr>
            <a:pPr marL="0" indent="0"/>
            <a:t>37%</a:t>
          </a:fld>
          <a:endParaRPr lang="en-US" sz="2800" b="1" i="0" u="none" strike="noStrike">
            <a:gradFill>
              <a:gsLst>
                <a:gs pos="100000">
                  <a:schemeClr val="bg1">
                    <a:lumMod val="9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endParaRPr>
        </a:p>
      </xdr:txBody>
    </xdr:sp>
    <xdr:clientData/>
  </xdr:twoCellAnchor>
  <xdr:twoCellAnchor>
    <xdr:from>
      <xdr:col>0</xdr:col>
      <xdr:colOff>9525</xdr:colOff>
      <xdr:row>21</xdr:row>
      <xdr:rowOff>73026</xdr:rowOff>
    </xdr:from>
    <xdr:to>
      <xdr:col>1</xdr:col>
      <xdr:colOff>1190625</xdr:colOff>
      <xdr:row>25</xdr:row>
      <xdr:rowOff>1</xdr:rowOff>
    </xdr:to>
    <xdr:sp macro="" textlink="KPIs!K4">
      <xdr:nvSpPr>
        <xdr:cNvPr id="7" name="TextBox 6">
          <a:extLst>
            <a:ext uri="{FF2B5EF4-FFF2-40B4-BE49-F238E27FC236}">
              <a16:creationId xmlns:a16="http://schemas.microsoft.com/office/drawing/2014/main" id="{F47F9170-7F14-4B73-977F-5F5E30CDD966}"/>
            </a:ext>
          </a:extLst>
        </xdr:cNvPr>
        <xdr:cNvSpPr txBox="1"/>
      </xdr:nvSpPr>
      <xdr:spPr>
        <a:xfrm>
          <a:off x="9525" y="3873501"/>
          <a:ext cx="1390650" cy="650875"/>
        </a:xfrm>
        <a:prstGeom prst="rect">
          <a:avLst/>
        </a:prstGeom>
        <a:solidFill>
          <a:srgbClr val="EE8F04">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9FB2824-BB3F-4179-AC40-6797CB606A7F}" type="TxLink">
            <a:rPr lang="en-US" sz="2800" b="1" i="0" u="none" strike="noStrike">
              <a:gradFill>
                <a:gsLst>
                  <a:gs pos="100000">
                    <a:schemeClr val="bg1">
                      <a:lumMod val="9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rPr>
            <a:pPr marL="0" indent="0"/>
            <a:t>723</a:t>
          </a:fld>
          <a:endParaRPr lang="en-US" sz="2800" b="1" i="0" u="none" strike="noStrike">
            <a:gradFill>
              <a:gsLst>
                <a:gs pos="100000">
                  <a:schemeClr val="bg1">
                    <a:lumMod val="9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endParaRPr>
        </a:p>
      </xdr:txBody>
    </xdr:sp>
    <xdr:clientData/>
  </xdr:twoCellAnchor>
  <xdr:twoCellAnchor>
    <xdr:from>
      <xdr:col>0</xdr:col>
      <xdr:colOff>9525</xdr:colOff>
      <xdr:row>5</xdr:row>
      <xdr:rowOff>15875</xdr:rowOff>
    </xdr:from>
    <xdr:to>
      <xdr:col>1</xdr:col>
      <xdr:colOff>1190625</xdr:colOff>
      <xdr:row>6</xdr:row>
      <xdr:rowOff>57150</xdr:rowOff>
    </xdr:to>
    <xdr:sp macro="" textlink="">
      <xdr:nvSpPr>
        <xdr:cNvPr id="8" name="TextBox 7">
          <a:extLst>
            <a:ext uri="{FF2B5EF4-FFF2-40B4-BE49-F238E27FC236}">
              <a16:creationId xmlns:a16="http://schemas.microsoft.com/office/drawing/2014/main" id="{151AD6B4-548F-417B-0C2B-6A0ECFEC562F}"/>
            </a:ext>
          </a:extLst>
        </xdr:cNvPr>
        <xdr:cNvSpPr txBox="1"/>
      </xdr:nvSpPr>
      <xdr:spPr>
        <a:xfrm>
          <a:off x="9525" y="920750"/>
          <a:ext cx="1390650" cy="222250"/>
        </a:xfrm>
        <a:prstGeom prst="rect">
          <a:avLst/>
        </a:prstGeom>
        <a:solidFill>
          <a:srgbClr val="EE8F04">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a:t>
          </a:r>
          <a:r>
            <a:rPr lang="en-US" sz="1100" b="1">
              <a:solidFill>
                <a:schemeClr val="bg1"/>
              </a:solidFill>
              <a:latin typeface="Aptos Narrow" panose="020B0004020202020204" pitchFamily="34" charset="0"/>
            </a:rPr>
            <a:t>Products</a:t>
          </a:r>
        </a:p>
      </xdr:txBody>
    </xdr:sp>
    <xdr:clientData/>
  </xdr:twoCellAnchor>
  <xdr:twoCellAnchor>
    <xdr:from>
      <xdr:col>0</xdr:col>
      <xdr:colOff>6350</xdr:colOff>
      <xdr:row>10</xdr:row>
      <xdr:rowOff>19503</xdr:rowOff>
    </xdr:from>
    <xdr:to>
      <xdr:col>1</xdr:col>
      <xdr:colOff>1187450</xdr:colOff>
      <xdr:row>11</xdr:row>
      <xdr:rowOff>57603</xdr:rowOff>
    </xdr:to>
    <xdr:sp macro="" textlink="">
      <xdr:nvSpPr>
        <xdr:cNvPr id="11" name="TextBox 10">
          <a:extLst>
            <a:ext uri="{FF2B5EF4-FFF2-40B4-BE49-F238E27FC236}">
              <a16:creationId xmlns:a16="http://schemas.microsoft.com/office/drawing/2014/main" id="{31FEE4EB-B8DC-4FD5-9A67-A74CDCE0B9E9}"/>
            </a:ext>
          </a:extLst>
        </xdr:cNvPr>
        <xdr:cNvSpPr txBox="1"/>
      </xdr:nvSpPr>
      <xdr:spPr>
        <a:xfrm>
          <a:off x="6350" y="1829253"/>
          <a:ext cx="1390650" cy="219075"/>
        </a:xfrm>
        <a:prstGeom prst="rect">
          <a:avLst/>
        </a:prstGeom>
        <a:solidFill>
          <a:srgbClr val="EE8F04">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a:t>
          </a:r>
          <a:r>
            <a:rPr lang="en-US" sz="1100" b="1">
              <a:solidFill>
                <a:schemeClr val="bg1"/>
              </a:solidFill>
              <a:latin typeface="Aptos Narrow" panose="020B0004020202020204" pitchFamily="34" charset="0"/>
            </a:rPr>
            <a:t>Avg.</a:t>
          </a:r>
          <a:r>
            <a:rPr lang="en-US" sz="1100" b="1" baseline="0">
              <a:solidFill>
                <a:schemeClr val="bg1"/>
              </a:solidFill>
              <a:latin typeface="Aptos Narrow" panose="020B0004020202020204" pitchFamily="34" charset="0"/>
            </a:rPr>
            <a:t> Rating</a:t>
          </a:r>
          <a:endParaRPr lang="en-US" sz="1100" b="1">
            <a:solidFill>
              <a:schemeClr val="bg1"/>
            </a:solidFill>
            <a:latin typeface="Aptos Narrow" panose="020B0004020202020204" pitchFamily="34" charset="0"/>
          </a:endParaRPr>
        </a:p>
      </xdr:txBody>
    </xdr:sp>
    <xdr:clientData/>
  </xdr:twoCellAnchor>
  <xdr:twoCellAnchor>
    <xdr:from>
      <xdr:col>0</xdr:col>
      <xdr:colOff>6350</xdr:colOff>
      <xdr:row>15</xdr:row>
      <xdr:rowOff>19956</xdr:rowOff>
    </xdr:from>
    <xdr:to>
      <xdr:col>1</xdr:col>
      <xdr:colOff>1187450</xdr:colOff>
      <xdr:row>16</xdr:row>
      <xdr:rowOff>54881</xdr:rowOff>
    </xdr:to>
    <xdr:sp macro="" textlink="">
      <xdr:nvSpPr>
        <xdr:cNvPr id="12" name="TextBox 11">
          <a:extLst>
            <a:ext uri="{FF2B5EF4-FFF2-40B4-BE49-F238E27FC236}">
              <a16:creationId xmlns:a16="http://schemas.microsoft.com/office/drawing/2014/main" id="{EBFC54FA-7E82-4ECE-B18F-0230807450B5}"/>
            </a:ext>
          </a:extLst>
        </xdr:cNvPr>
        <xdr:cNvSpPr txBox="1"/>
      </xdr:nvSpPr>
      <xdr:spPr>
        <a:xfrm>
          <a:off x="6350" y="2734581"/>
          <a:ext cx="1390650" cy="215900"/>
        </a:xfrm>
        <a:prstGeom prst="rect">
          <a:avLst/>
        </a:prstGeom>
        <a:solidFill>
          <a:srgbClr val="EE8F04">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a:t>
          </a:r>
          <a:r>
            <a:rPr lang="en-US" sz="1100" b="1">
              <a:solidFill>
                <a:schemeClr val="bg1"/>
              </a:solidFill>
              <a:latin typeface="Aptos Narrow" panose="020B0004020202020204" pitchFamily="34" charset="0"/>
            </a:rPr>
            <a:t>Avg.</a:t>
          </a:r>
          <a:r>
            <a:rPr lang="en-US" sz="1100" b="1" baseline="0">
              <a:solidFill>
                <a:schemeClr val="bg1"/>
              </a:solidFill>
              <a:latin typeface="Aptos Narrow" panose="020B0004020202020204" pitchFamily="34" charset="0"/>
            </a:rPr>
            <a:t> Discount</a:t>
          </a:r>
          <a:endParaRPr lang="en-US" sz="1100" b="1">
            <a:solidFill>
              <a:schemeClr val="bg1"/>
            </a:solidFill>
            <a:latin typeface="Aptos Narrow" panose="020B0004020202020204" pitchFamily="34" charset="0"/>
          </a:endParaRPr>
        </a:p>
      </xdr:txBody>
    </xdr:sp>
    <xdr:clientData/>
  </xdr:twoCellAnchor>
  <xdr:twoCellAnchor>
    <xdr:from>
      <xdr:col>0</xdr:col>
      <xdr:colOff>6350</xdr:colOff>
      <xdr:row>20</xdr:row>
      <xdr:rowOff>17234</xdr:rowOff>
    </xdr:from>
    <xdr:to>
      <xdr:col>1</xdr:col>
      <xdr:colOff>1187450</xdr:colOff>
      <xdr:row>21</xdr:row>
      <xdr:rowOff>58509</xdr:rowOff>
    </xdr:to>
    <xdr:sp macro="" textlink="">
      <xdr:nvSpPr>
        <xdr:cNvPr id="13" name="TextBox 12">
          <a:extLst>
            <a:ext uri="{FF2B5EF4-FFF2-40B4-BE49-F238E27FC236}">
              <a16:creationId xmlns:a16="http://schemas.microsoft.com/office/drawing/2014/main" id="{1A2B80FC-ACC2-4D1E-8963-794704AA7D4A}"/>
            </a:ext>
          </a:extLst>
        </xdr:cNvPr>
        <xdr:cNvSpPr txBox="1"/>
      </xdr:nvSpPr>
      <xdr:spPr>
        <a:xfrm>
          <a:off x="6350" y="3636734"/>
          <a:ext cx="1390650" cy="222250"/>
        </a:xfrm>
        <a:prstGeom prst="rect">
          <a:avLst/>
        </a:prstGeom>
        <a:solidFill>
          <a:srgbClr val="EE8F04">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a:t>
          </a:r>
          <a:r>
            <a:rPr lang="en-US" sz="1100" b="1">
              <a:solidFill>
                <a:schemeClr val="bg1"/>
              </a:solidFill>
              <a:latin typeface="Aptos Narrow" panose="020B0004020202020204" pitchFamily="34" charset="0"/>
            </a:rPr>
            <a:t>Reviews</a:t>
          </a:r>
        </a:p>
      </xdr:txBody>
    </xdr:sp>
    <xdr:clientData/>
  </xdr:twoCellAnchor>
  <xdr:twoCellAnchor editAs="oneCell">
    <xdr:from>
      <xdr:col>0</xdr:col>
      <xdr:colOff>0</xdr:colOff>
      <xdr:row>0</xdr:row>
      <xdr:rowOff>0</xdr:rowOff>
    </xdr:from>
    <xdr:to>
      <xdr:col>2</xdr:col>
      <xdr:colOff>200648</xdr:colOff>
      <xdr:row>5</xdr:row>
      <xdr:rowOff>0</xdr:rowOff>
    </xdr:to>
    <xdr:pic>
      <xdr:nvPicPr>
        <xdr:cNvPr id="14" name="Picture 13">
          <a:extLst>
            <a:ext uri="{FF2B5EF4-FFF2-40B4-BE49-F238E27FC236}">
              <a16:creationId xmlns:a16="http://schemas.microsoft.com/office/drawing/2014/main" id="{9DAAFD72-572A-4FBD-BFAD-DE45FECFB743}"/>
            </a:ext>
          </a:extLst>
        </xdr:cNvPr>
        <xdr:cNvPicPr>
          <a:picLocks noChangeAspect="1"/>
        </xdr:cNvPicPr>
      </xdr:nvPicPr>
      <xdr:blipFill>
        <a:blip xmlns:r="http://schemas.openxmlformats.org/officeDocument/2006/relationships" r:embed="rId1">
          <a:alphaModFix amt="26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0"/>
          <a:ext cx="1632573" cy="904875"/>
        </a:xfrm>
        <a:prstGeom prst="rect">
          <a:avLst/>
        </a:prstGeom>
      </xdr:spPr>
    </xdr:pic>
    <xdr:clientData/>
  </xdr:twoCellAnchor>
  <xdr:twoCellAnchor>
    <xdr:from>
      <xdr:col>3</xdr:col>
      <xdr:colOff>6350</xdr:colOff>
      <xdr:row>0</xdr:row>
      <xdr:rowOff>0</xdr:rowOff>
    </xdr:from>
    <xdr:to>
      <xdr:col>25</xdr:col>
      <xdr:colOff>581025</xdr:colOff>
      <xdr:row>4</xdr:row>
      <xdr:rowOff>152400</xdr:rowOff>
    </xdr:to>
    <xdr:sp macro="" textlink="">
      <xdr:nvSpPr>
        <xdr:cNvPr id="15" name="Rectangle 14">
          <a:extLst>
            <a:ext uri="{FF2B5EF4-FFF2-40B4-BE49-F238E27FC236}">
              <a16:creationId xmlns:a16="http://schemas.microsoft.com/office/drawing/2014/main" id="{BA9A7356-B8B0-068E-CA15-C7788C0D9976}"/>
            </a:ext>
          </a:extLst>
        </xdr:cNvPr>
        <xdr:cNvSpPr/>
      </xdr:nvSpPr>
      <xdr:spPr>
        <a:xfrm>
          <a:off x="1644650" y="0"/>
          <a:ext cx="13985875" cy="876300"/>
        </a:xfrm>
        <a:prstGeom prst="rect">
          <a:avLst/>
        </a:prstGeom>
        <a:solidFill>
          <a:srgbClr val="FB9C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bg1"/>
              </a:solidFill>
              <a:latin typeface="Aptos Narrow" panose="020B0004020202020204" pitchFamily="34" charset="0"/>
            </a:rPr>
            <a:t>Jumia Product Performance Dashboard</a:t>
          </a:r>
        </a:p>
        <a:p>
          <a:pPr algn="ctr"/>
          <a:r>
            <a:rPr lang="en-US" sz="1600">
              <a:solidFill>
                <a:schemeClr val="bg1"/>
              </a:solidFill>
              <a:latin typeface="Aptos Narrow" panose="020B0004020202020204" pitchFamily="34" charset="0"/>
            </a:rPr>
            <a:t>Analyzing Pricing, Discounts</a:t>
          </a:r>
          <a:r>
            <a:rPr lang="en-US" sz="1600" baseline="0">
              <a:solidFill>
                <a:schemeClr val="bg1"/>
              </a:solidFill>
              <a:latin typeface="Aptos Narrow" panose="020B0004020202020204" pitchFamily="34" charset="0"/>
            </a:rPr>
            <a:t> and Customer Reviews </a:t>
          </a:r>
          <a:endParaRPr lang="en-US" sz="1600">
            <a:solidFill>
              <a:schemeClr val="bg1"/>
            </a:solidFill>
            <a:latin typeface="Aptos Narrow" panose="020B0004020202020204" pitchFamily="34" charset="0"/>
          </a:endParaRPr>
        </a:p>
      </xdr:txBody>
    </xdr:sp>
    <xdr:clientData/>
  </xdr:twoCellAnchor>
  <xdr:twoCellAnchor editAs="oneCell">
    <xdr:from>
      <xdr:col>0</xdr:col>
      <xdr:colOff>1</xdr:colOff>
      <xdr:row>24</xdr:row>
      <xdr:rowOff>57150</xdr:rowOff>
    </xdr:from>
    <xdr:to>
      <xdr:col>3</xdr:col>
      <xdr:colOff>66675</xdr:colOff>
      <xdr:row>31</xdr:row>
      <xdr:rowOff>28575</xdr:rowOff>
    </xdr:to>
    <mc:AlternateContent xmlns:mc="http://schemas.openxmlformats.org/markup-compatibility/2006" xmlns:a14="http://schemas.microsoft.com/office/drawing/2010/main">
      <mc:Choice Requires="a14">
        <xdr:graphicFrame macro="">
          <xdr:nvGraphicFramePr>
            <xdr:cNvPr id="18" name="Discount Category 2">
              <a:extLst>
                <a:ext uri="{FF2B5EF4-FFF2-40B4-BE49-F238E27FC236}">
                  <a16:creationId xmlns:a16="http://schemas.microsoft.com/office/drawing/2014/main" id="{B2790EA9-CF69-43F2-8447-5255148E275E}"/>
                </a:ext>
              </a:extLst>
            </xdr:cNvPr>
            <xdr:cNvGraphicFramePr/>
          </xdr:nvGraphicFramePr>
          <xdr:xfrm>
            <a:off x="0" y="0"/>
            <a:ext cx="0" cy="0"/>
          </xdr:xfrm>
          <a:graphic>
            <a:graphicData uri="http://schemas.microsoft.com/office/drawing/2010/slicer">
              <sle:slicer xmlns:sle="http://schemas.microsoft.com/office/drawing/2010/slicer" name="Discount Category 2"/>
            </a:graphicData>
          </a:graphic>
        </xdr:graphicFrame>
      </mc:Choice>
      <mc:Fallback xmlns="">
        <xdr:sp macro="" textlink="">
          <xdr:nvSpPr>
            <xdr:cNvPr id="0" name=""/>
            <xdr:cNvSpPr>
              <a:spLocks noTextEdit="1"/>
            </xdr:cNvSpPr>
          </xdr:nvSpPr>
          <xdr:spPr>
            <a:xfrm>
              <a:off x="1" y="4375150"/>
              <a:ext cx="1707091" cy="1230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120650</xdr:rowOff>
    </xdr:from>
    <xdr:to>
      <xdr:col>3</xdr:col>
      <xdr:colOff>74083</xdr:colOff>
      <xdr:row>39</xdr:row>
      <xdr:rowOff>120650</xdr:rowOff>
    </xdr:to>
    <mc:AlternateContent xmlns:mc="http://schemas.openxmlformats.org/markup-compatibility/2006" xmlns:a14="http://schemas.microsoft.com/office/drawing/2010/main">
      <mc:Choice Requires="a14">
        <xdr:graphicFrame macro="">
          <xdr:nvGraphicFramePr>
            <xdr:cNvPr id="19" name="Rating Category 2">
              <a:extLst>
                <a:ext uri="{FF2B5EF4-FFF2-40B4-BE49-F238E27FC236}">
                  <a16:creationId xmlns:a16="http://schemas.microsoft.com/office/drawing/2014/main" id="{968FA3D2-0685-4793-912D-CD6B3BF04823}"/>
                </a:ext>
              </a:extLst>
            </xdr:cNvPr>
            <xdr:cNvGraphicFramePr/>
          </xdr:nvGraphicFramePr>
          <xdr:xfrm>
            <a:off x="0" y="0"/>
            <a:ext cx="0" cy="0"/>
          </xdr:xfrm>
          <a:graphic>
            <a:graphicData uri="http://schemas.microsoft.com/office/drawing/2010/slicer">
              <sle:slicer xmlns:sle="http://schemas.microsoft.com/office/drawing/2010/slicer" name="Rating Category 2"/>
            </a:graphicData>
          </a:graphic>
        </xdr:graphicFrame>
      </mc:Choice>
      <mc:Fallback xmlns="">
        <xdr:sp macro="" textlink="">
          <xdr:nvSpPr>
            <xdr:cNvPr id="0" name=""/>
            <xdr:cNvSpPr>
              <a:spLocks noTextEdit="1"/>
            </xdr:cNvSpPr>
          </xdr:nvSpPr>
          <xdr:spPr>
            <a:xfrm>
              <a:off x="0" y="5701242"/>
              <a:ext cx="1714500" cy="1436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346075</xdr:colOff>
      <xdr:row>25</xdr:row>
      <xdr:rowOff>46566</xdr:rowOff>
    </xdr:from>
    <xdr:to>
      <xdr:col>18</xdr:col>
      <xdr:colOff>65616</xdr:colOff>
      <xdr:row>39</xdr:row>
      <xdr:rowOff>132291</xdr:rowOff>
    </xdr:to>
    <xdr:graphicFrame macro="">
      <xdr:nvGraphicFramePr>
        <xdr:cNvPr id="20" name="Chart 19">
          <a:extLst>
            <a:ext uri="{FF2B5EF4-FFF2-40B4-BE49-F238E27FC236}">
              <a16:creationId xmlns:a16="http://schemas.microsoft.com/office/drawing/2014/main" id="{613A8A5E-604F-433F-85C4-66EB0767F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175684</xdr:colOff>
      <xdr:row>25</xdr:row>
      <xdr:rowOff>35791</xdr:rowOff>
    </xdr:from>
    <xdr:to>
      <xdr:col>25</xdr:col>
      <xdr:colOff>499534</xdr:colOff>
      <xdr:row>39</xdr:row>
      <xdr:rowOff>122093</xdr:rowOff>
    </xdr:to>
    <xdr:graphicFrame macro="">
      <xdr:nvGraphicFramePr>
        <xdr:cNvPr id="21" name="Chart 20">
          <a:extLst>
            <a:ext uri="{FF2B5EF4-FFF2-40B4-BE49-F238E27FC236}">
              <a16:creationId xmlns:a16="http://schemas.microsoft.com/office/drawing/2014/main" id="{F88B24F6-EA81-40B8-8437-A6088FB5B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208489</xdr:colOff>
      <xdr:row>25</xdr:row>
      <xdr:rowOff>38774</xdr:rowOff>
    </xdr:from>
    <xdr:to>
      <xdr:col>10</xdr:col>
      <xdr:colOff>214840</xdr:colOff>
      <xdr:row>39</xdr:row>
      <xdr:rowOff>131426</xdr:rowOff>
    </xdr:to>
    <xdr:graphicFrame macro="">
      <xdr:nvGraphicFramePr>
        <xdr:cNvPr id="22" name="Chart 21">
          <a:extLst>
            <a:ext uri="{FF2B5EF4-FFF2-40B4-BE49-F238E27FC236}">
              <a16:creationId xmlns:a16="http://schemas.microsoft.com/office/drawing/2014/main" id="{5D277F23-4E5C-462D-ACE0-977A7DF6F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208492</xdr:colOff>
      <xdr:row>5</xdr:row>
      <xdr:rowOff>30692</xdr:rowOff>
    </xdr:from>
    <xdr:to>
      <xdr:col>10</xdr:col>
      <xdr:colOff>208492</xdr:colOff>
      <xdr:row>24</xdr:row>
      <xdr:rowOff>125942</xdr:rowOff>
    </xdr:to>
    <xdr:graphicFrame macro="">
      <xdr:nvGraphicFramePr>
        <xdr:cNvPr id="23" name="Chart 22">
          <a:extLst>
            <a:ext uri="{FF2B5EF4-FFF2-40B4-BE49-F238E27FC236}">
              <a16:creationId xmlns:a16="http://schemas.microsoft.com/office/drawing/2014/main" id="{7B7B121D-F390-44BF-A296-21E85E466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178859</xdr:colOff>
      <xdr:row>5</xdr:row>
      <xdr:rowOff>9526</xdr:rowOff>
    </xdr:from>
    <xdr:to>
      <xdr:col>25</xdr:col>
      <xdr:colOff>477309</xdr:colOff>
      <xdr:row>24</xdr:row>
      <xdr:rowOff>133351</xdr:rowOff>
    </xdr:to>
    <xdr:graphicFrame macro="">
      <xdr:nvGraphicFramePr>
        <xdr:cNvPr id="24" name="Chart 2">
          <a:extLst>
            <a:ext uri="{FF2B5EF4-FFF2-40B4-BE49-F238E27FC236}">
              <a16:creationId xmlns:a16="http://schemas.microsoft.com/office/drawing/2014/main" id="{0824BECF-86E7-4E06-BDED-962AA4222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346076</xdr:colOff>
      <xdr:row>5</xdr:row>
      <xdr:rowOff>17991</xdr:rowOff>
    </xdr:from>
    <xdr:to>
      <xdr:col>18</xdr:col>
      <xdr:colOff>62441</xdr:colOff>
      <xdr:row>24</xdr:row>
      <xdr:rowOff>122765</xdr:rowOff>
    </xdr:to>
    <xdr:graphicFrame macro="">
      <xdr:nvGraphicFramePr>
        <xdr:cNvPr id="26" name="Chart 25">
          <a:extLst>
            <a:ext uri="{FF2B5EF4-FFF2-40B4-BE49-F238E27FC236}">
              <a16:creationId xmlns:a16="http://schemas.microsoft.com/office/drawing/2014/main" id="{63605CC3-2020-4381-916F-1FF287D61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2.788480092589" createdVersion="8" refreshedVersion="8" minRefreshableVersion="3" recordCount="112" xr:uid="{C9E97472-C640-4F93-B523-80ADDE261C91}">
  <cacheSource type="worksheet">
    <worksheetSource ref="A1:I113" sheet="Excel_jumia"/>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2">
      <sharedItems containsSemiMixedTypes="0" containsString="0" containsNumber="1" containsInteger="1" minValue="38" maxValue="3750"/>
    </cacheField>
    <cacheField name="Old Price" numFmtId="2">
      <sharedItems containsSemiMixedTypes="0" containsString="0" containsNumber="1" containsInteger="1" minValue="80" maxValue="6143"/>
    </cacheField>
    <cacheField name="Discount" numFmtId="9">
      <sharedItems containsSemiMixedTypes="0" containsString="0" containsNumber="1" minValue="0.01" maxValue="0.64"/>
    </cacheField>
    <cacheField name="Discount Category" numFmtId="9">
      <sharedItems count="3">
        <s v="Medium Discount"/>
        <s v="High Discount"/>
        <s v="Low Discount"/>
      </sharedItems>
    </cacheField>
    <cacheField name="Discount Amount" numFmtId="2">
      <sharedItems containsSemiMixedTypes="0" containsString="0" containsNumber="1" containsInteger="1" minValue="24" maxValue="2585"/>
    </cacheField>
    <cacheField name="Review" numFmtId="0">
      <sharedItems containsMixedTypes="1" containsNumber="1" containsInteger="1" minValue="1" maxValue="69"/>
    </cacheField>
    <cacheField name="Rating" numFmtId="0">
      <sharedItems containsMixedTypes="1" containsNumber="1" minValue="2" maxValue="5" count="23">
        <n v="4.5"/>
        <n v="4.0999999999999996"/>
        <n v="4.5999999999999996"/>
        <n v="4.7"/>
        <n v="4.8"/>
        <n v="4"/>
        <n v="3.8"/>
        <n v="4.2"/>
        <n v="5"/>
        <n v="3.3"/>
        <s v="null"/>
        <n v="4.4000000000000004"/>
        <n v="4.3"/>
        <n v="2.5"/>
        <n v="3"/>
        <n v="2.1"/>
        <n v="2.8"/>
        <n v="2.7"/>
        <n v="2.9"/>
        <n v="2.2000000000000002"/>
        <n v="2.2999999999999998"/>
        <n v="2.6"/>
        <n v="2"/>
      </sharedItems>
    </cacheField>
    <cacheField name="Rating Category" numFmtId="0">
      <sharedItems count="4">
        <s v="Excellent"/>
        <s v="Average"/>
        <s v="Not Rated"/>
        <s v="Poor"/>
      </sharedItems>
    </cacheField>
  </cacheFields>
  <extLst>
    <ext xmlns:x14="http://schemas.microsoft.com/office/spreadsheetml/2009/9/main" uri="{725AE2AE-9491-48be-B2B4-4EB974FC3084}">
      <x14:pivotCacheDefinition pivotCacheId="2117881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n v="0.38"/>
    <x v="0"/>
    <n v="575"/>
    <n v="2"/>
    <x v="0"/>
    <x v="0"/>
  </r>
  <r>
    <x v="1"/>
    <n v="527"/>
    <n v="999"/>
    <n v="0.47"/>
    <x v="1"/>
    <n v="472"/>
    <n v="14"/>
    <x v="1"/>
    <x v="1"/>
  </r>
  <r>
    <x v="2"/>
    <n v="2199"/>
    <n v="2923"/>
    <n v="0.25"/>
    <x v="0"/>
    <n v="724"/>
    <n v="24"/>
    <x v="2"/>
    <x v="0"/>
  </r>
  <r>
    <x v="3"/>
    <n v="1580"/>
    <n v="2499"/>
    <n v="0.37"/>
    <x v="0"/>
    <n v="919"/>
    <n v="7"/>
    <x v="3"/>
    <x v="0"/>
  </r>
  <r>
    <x v="4"/>
    <n v="1740"/>
    <n v="2356"/>
    <n v="0.26"/>
    <x v="0"/>
    <n v="616"/>
    <n v="5"/>
    <x v="4"/>
    <x v="0"/>
  </r>
  <r>
    <x v="5"/>
    <n v="2999"/>
    <n v="3290"/>
    <n v="0.09"/>
    <x v="2"/>
    <n v="291"/>
    <n v="15"/>
    <x v="5"/>
    <x v="1"/>
  </r>
  <r>
    <x v="6"/>
    <n v="2319"/>
    <n v="3032"/>
    <n v="0.24"/>
    <x v="0"/>
    <n v="713"/>
    <n v="55"/>
    <x v="2"/>
    <x v="0"/>
  </r>
  <r>
    <x v="7"/>
    <n v="988"/>
    <n v="1580"/>
    <n v="0.37"/>
    <x v="0"/>
    <n v="592"/>
    <n v="2"/>
    <x v="5"/>
    <x v="1"/>
  </r>
  <r>
    <x v="8"/>
    <n v="1274"/>
    <n v="2800"/>
    <n v="0.55000000000000004"/>
    <x v="1"/>
    <n v="1526"/>
    <n v="5"/>
    <x v="4"/>
    <x v="0"/>
  </r>
  <r>
    <x v="9"/>
    <n v="1600"/>
    <n v="2929"/>
    <n v="0.45"/>
    <x v="1"/>
    <n v="1329"/>
    <n v="5"/>
    <x v="6"/>
    <x v="1"/>
  </r>
  <r>
    <x v="10"/>
    <n v="799"/>
    <n v="999"/>
    <n v="0.2"/>
    <x v="0"/>
    <n v="200"/>
    <n v="12"/>
    <x v="1"/>
    <x v="1"/>
  </r>
  <r>
    <x v="11"/>
    <n v="990"/>
    <n v="1500"/>
    <n v="0.34"/>
    <x v="0"/>
    <n v="510"/>
    <n v="39"/>
    <x v="3"/>
    <x v="0"/>
  </r>
  <r>
    <x v="12"/>
    <n v="552"/>
    <n v="1035"/>
    <n v="0.47"/>
    <x v="1"/>
    <n v="483"/>
    <n v="12"/>
    <x v="4"/>
    <x v="0"/>
  </r>
  <r>
    <x v="13"/>
    <n v="501"/>
    <n v="860"/>
    <n v="0.42"/>
    <x v="1"/>
    <n v="359"/>
    <n v="6"/>
    <x v="0"/>
    <x v="0"/>
  </r>
  <r>
    <x v="14"/>
    <n v="1680"/>
    <n v="2499"/>
    <n v="0.33"/>
    <x v="0"/>
    <n v="819"/>
    <n v="9"/>
    <x v="7"/>
    <x v="1"/>
  </r>
  <r>
    <x v="15"/>
    <n v="332"/>
    <n v="684"/>
    <n v="0.51"/>
    <x v="1"/>
    <n v="352"/>
    <n v="2"/>
    <x v="8"/>
    <x v="0"/>
  </r>
  <r>
    <x v="16"/>
    <n v="195"/>
    <n v="360"/>
    <n v="0.46"/>
    <x v="1"/>
    <n v="165"/>
    <n v="2"/>
    <x v="8"/>
    <x v="0"/>
  </r>
  <r>
    <x v="17"/>
    <n v="2025"/>
    <n v="3971"/>
    <n v="0.49"/>
    <x v="1"/>
    <n v="1946"/>
    <n v="3"/>
    <x v="8"/>
    <x v="0"/>
  </r>
  <r>
    <x v="18"/>
    <n v="2999"/>
    <n v="3699"/>
    <n v="0.19"/>
    <x v="2"/>
    <n v="700"/>
    <n v="5"/>
    <x v="2"/>
    <x v="0"/>
  </r>
  <r>
    <x v="19"/>
    <n v="998"/>
    <n v="1966"/>
    <n v="0.49"/>
    <x v="1"/>
    <n v="968"/>
    <n v="44"/>
    <x v="2"/>
    <x v="0"/>
  </r>
  <r>
    <x v="20"/>
    <n v="38"/>
    <n v="80"/>
    <n v="0.53"/>
    <x v="1"/>
    <n v="42"/>
    <n v="13"/>
    <x v="9"/>
    <x v="1"/>
  </r>
  <r>
    <x v="21"/>
    <n v="1860"/>
    <n v="3220"/>
    <n v="0.42"/>
    <x v="1"/>
    <n v="1360"/>
    <s v="null"/>
    <x v="10"/>
    <x v="2"/>
  </r>
  <r>
    <x v="22"/>
    <n v="880"/>
    <n v="1350"/>
    <n v="0.35"/>
    <x v="0"/>
    <n v="470"/>
    <n v="6"/>
    <x v="5"/>
    <x v="1"/>
  </r>
  <r>
    <x v="23"/>
    <n v="1650"/>
    <n v="2150"/>
    <n v="0.23"/>
    <x v="0"/>
    <n v="500"/>
    <n v="14"/>
    <x v="11"/>
    <x v="0"/>
  </r>
  <r>
    <x v="24"/>
    <n v="2048"/>
    <n v="4500"/>
    <n v="0.54"/>
    <x v="1"/>
    <n v="2452"/>
    <n v="7"/>
    <x v="12"/>
    <x v="1"/>
  </r>
  <r>
    <x v="25"/>
    <n v="420"/>
    <n v="647"/>
    <n v="0.35"/>
    <x v="0"/>
    <n v="227"/>
    <n v="49"/>
    <x v="2"/>
    <x v="0"/>
  </r>
  <r>
    <x v="26"/>
    <n v="2880"/>
    <n v="3520"/>
    <n v="0.18"/>
    <x v="2"/>
    <n v="640"/>
    <n v="12"/>
    <x v="6"/>
    <x v="1"/>
  </r>
  <r>
    <x v="27"/>
    <n v="1350"/>
    <n v="1990"/>
    <n v="0.32"/>
    <x v="0"/>
    <n v="640"/>
    <n v="13"/>
    <x v="6"/>
    <x v="1"/>
  </r>
  <r>
    <x v="28"/>
    <n v="1758"/>
    <n v="2499"/>
    <n v="0.3"/>
    <x v="0"/>
    <n v="741"/>
    <n v="20"/>
    <x v="1"/>
    <x v="1"/>
  </r>
  <r>
    <x v="29"/>
    <n v="2200"/>
    <n v="4080"/>
    <n v="0.46"/>
    <x v="1"/>
    <n v="1880"/>
    <s v="null"/>
    <x v="10"/>
    <x v="2"/>
  </r>
  <r>
    <x v="30"/>
    <n v="185"/>
    <n v="382"/>
    <n v="0.52"/>
    <x v="1"/>
    <n v="197"/>
    <n v="9"/>
    <x v="12"/>
    <x v="1"/>
  </r>
  <r>
    <x v="31"/>
    <n v="980"/>
    <n v="1490"/>
    <n v="0.34"/>
    <x v="0"/>
    <n v="510"/>
    <n v="12"/>
    <x v="3"/>
    <x v="0"/>
  </r>
  <r>
    <x v="32"/>
    <n v="1820"/>
    <n v="3490"/>
    <n v="0.48"/>
    <x v="1"/>
    <n v="1670"/>
    <n v="9"/>
    <x v="12"/>
    <x v="1"/>
  </r>
  <r>
    <x v="33"/>
    <n v="1940"/>
    <n v="2650"/>
    <n v="0.27"/>
    <x v="0"/>
    <n v="710"/>
    <n v="20"/>
    <x v="3"/>
    <x v="0"/>
  </r>
  <r>
    <x v="34"/>
    <n v="1980"/>
    <n v="2699"/>
    <n v="0.27"/>
    <x v="0"/>
    <n v="719"/>
    <n v="32"/>
    <x v="0"/>
    <x v="0"/>
  </r>
  <r>
    <x v="35"/>
    <n v="1620"/>
    <n v="2690"/>
    <n v="0.4"/>
    <x v="1"/>
    <n v="1070"/>
    <n v="1"/>
    <x v="8"/>
    <x v="0"/>
  </r>
  <r>
    <x v="36"/>
    <n v="171"/>
    <n v="360"/>
    <n v="0.53"/>
    <x v="1"/>
    <n v="189"/>
    <n v="2"/>
    <x v="8"/>
    <x v="0"/>
  </r>
  <r>
    <x v="37"/>
    <n v="389"/>
    <n v="656"/>
    <n v="0.41"/>
    <x v="1"/>
    <n v="267"/>
    <n v="36"/>
    <x v="12"/>
    <x v="1"/>
  </r>
  <r>
    <x v="38"/>
    <n v="1800"/>
    <n v="2700"/>
    <n v="0.38"/>
    <x v="0"/>
    <n v="900"/>
    <n v="2"/>
    <x v="0"/>
    <x v="0"/>
  </r>
  <r>
    <x v="39"/>
    <n v="2750"/>
    <n v="4471"/>
    <n v="0.38"/>
    <x v="0"/>
    <n v="1721"/>
    <s v="null"/>
    <x v="10"/>
    <x v="2"/>
  </r>
  <r>
    <x v="40"/>
    <n v="475"/>
    <n v="931"/>
    <n v="0.49"/>
    <x v="1"/>
    <n v="456"/>
    <s v="null"/>
    <x v="10"/>
    <x v="2"/>
  </r>
  <r>
    <x v="41"/>
    <n v="238"/>
    <n v="476"/>
    <n v="0.5"/>
    <x v="1"/>
    <n v="238"/>
    <s v="null"/>
    <x v="10"/>
    <x v="2"/>
  </r>
  <r>
    <x v="42"/>
    <n v="610"/>
    <n v="1060"/>
    <n v="0.42"/>
    <x v="1"/>
    <n v="450"/>
    <s v="null"/>
    <x v="10"/>
    <x v="2"/>
  </r>
  <r>
    <x v="43"/>
    <n v="2132"/>
    <n v="2169"/>
    <n v="0.02"/>
    <x v="2"/>
    <n v="37"/>
    <s v="null"/>
    <x v="10"/>
    <x v="2"/>
  </r>
  <r>
    <x v="44"/>
    <n v="999"/>
    <n v="2000"/>
    <n v="0.5"/>
    <x v="1"/>
    <n v="1001"/>
    <s v="null"/>
    <x v="10"/>
    <x v="2"/>
  </r>
  <r>
    <x v="45"/>
    <n v="1190"/>
    <n v="1785"/>
    <n v="0.33"/>
    <x v="0"/>
    <n v="595"/>
    <s v="null"/>
    <x v="10"/>
    <x v="2"/>
  </r>
  <r>
    <x v="46"/>
    <n v="671"/>
    <n v="1316"/>
    <n v="0.49"/>
    <x v="1"/>
    <n v="645"/>
    <s v="null"/>
    <x v="10"/>
    <x v="2"/>
  </r>
  <r>
    <x v="47"/>
    <n v="1200"/>
    <n v="1950"/>
    <n v="0.38"/>
    <x v="0"/>
    <n v="750"/>
    <s v="null"/>
    <x v="10"/>
    <x v="2"/>
  </r>
  <r>
    <x v="48"/>
    <n v="199"/>
    <n v="504"/>
    <n v="0.61"/>
    <x v="1"/>
    <n v="305"/>
    <s v="null"/>
    <x v="10"/>
    <x v="2"/>
  </r>
  <r>
    <x v="49"/>
    <n v="299"/>
    <n v="600"/>
    <n v="0.5"/>
    <x v="1"/>
    <n v="301"/>
    <s v="null"/>
    <x v="10"/>
    <x v="2"/>
  </r>
  <r>
    <x v="50"/>
    <n v="1660"/>
    <n v="1699"/>
    <n v="0.02"/>
    <x v="2"/>
    <n v="39"/>
    <s v="null"/>
    <x v="10"/>
    <x v="2"/>
  </r>
  <r>
    <x v="51"/>
    <n v="299"/>
    <n v="384"/>
    <n v="0.22"/>
    <x v="0"/>
    <n v="85"/>
    <s v="null"/>
    <x v="10"/>
    <x v="2"/>
  </r>
  <r>
    <x v="52"/>
    <n v="1459"/>
    <n v="1499"/>
    <n v="0.03"/>
    <x v="2"/>
    <n v="40"/>
    <s v="null"/>
    <x v="10"/>
    <x v="2"/>
  </r>
  <r>
    <x v="53"/>
    <n v="799"/>
    <n v="1343"/>
    <n v="0.41"/>
    <x v="1"/>
    <n v="544"/>
    <s v="null"/>
    <x v="10"/>
    <x v="2"/>
  </r>
  <r>
    <x v="54"/>
    <n v="499"/>
    <n v="900"/>
    <n v="0.45"/>
    <x v="1"/>
    <n v="401"/>
    <s v="null"/>
    <x v="10"/>
    <x v="2"/>
  </r>
  <r>
    <x v="55"/>
    <n v="699"/>
    <n v="1343"/>
    <n v="0.48"/>
    <x v="1"/>
    <n v="644"/>
    <s v="null"/>
    <x v="10"/>
    <x v="2"/>
  </r>
  <r>
    <x v="56"/>
    <n v="799"/>
    <n v="1567"/>
    <n v="0.49"/>
    <x v="1"/>
    <n v="768"/>
    <s v="null"/>
    <x v="10"/>
    <x v="2"/>
  </r>
  <r>
    <x v="57"/>
    <n v="2799"/>
    <n v="3810"/>
    <n v="0.27"/>
    <x v="0"/>
    <n v="1011"/>
    <s v="null"/>
    <x v="10"/>
    <x v="2"/>
  </r>
  <r>
    <x v="54"/>
    <n v="399"/>
    <n v="896"/>
    <n v="0.55000000000000004"/>
    <x v="1"/>
    <n v="497"/>
    <s v="null"/>
    <x v="10"/>
    <x v="2"/>
  </r>
  <r>
    <x v="58"/>
    <n v="2170"/>
    <n v="2500"/>
    <n v="0.13"/>
    <x v="2"/>
    <n v="330"/>
    <n v="6"/>
    <x v="13"/>
    <x v="3"/>
  </r>
  <r>
    <x v="59"/>
    <n v="458"/>
    <n v="986"/>
    <n v="0.54"/>
    <x v="1"/>
    <n v="528"/>
    <n v="10"/>
    <x v="14"/>
    <x v="1"/>
  </r>
  <r>
    <x v="60"/>
    <n v="2115"/>
    <n v="4700"/>
    <n v="0.55000000000000004"/>
    <x v="1"/>
    <n v="2585"/>
    <n v="13"/>
    <x v="15"/>
    <x v="3"/>
  </r>
  <r>
    <x v="61"/>
    <n v="445"/>
    <n v="873"/>
    <n v="0.49"/>
    <x v="1"/>
    <n v="428"/>
    <n v="69"/>
    <x v="16"/>
    <x v="3"/>
  </r>
  <r>
    <x v="62"/>
    <n v="325"/>
    <n v="680"/>
    <n v="0.52"/>
    <x v="1"/>
    <n v="355"/>
    <n v="15"/>
    <x v="17"/>
    <x v="3"/>
  </r>
  <r>
    <x v="63"/>
    <n v="1220"/>
    <n v="1555"/>
    <n v="0.22"/>
    <x v="0"/>
    <n v="335"/>
    <n v="16"/>
    <x v="18"/>
    <x v="3"/>
  </r>
  <r>
    <x v="64"/>
    <n v="990"/>
    <n v="1814"/>
    <n v="0.45"/>
    <x v="1"/>
    <n v="824"/>
    <n v="6"/>
    <x v="19"/>
    <x v="3"/>
  </r>
  <r>
    <x v="65"/>
    <n v="1000"/>
    <n v="2000"/>
    <n v="0.5"/>
    <x v="1"/>
    <n v="1000"/>
    <n v="7"/>
    <x v="20"/>
    <x v="3"/>
  </r>
  <r>
    <x v="66"/>
    <n v="3750"/>
    <n v="6143"/>
    <n v="0.39"/>
    <x v="0"/>
    <n v="2393"/>
    <n v="5"/>
    <x v="14"/>
    <x v="1"/>
  </r>
  <r>
    <x v="67"/>
    <n v="382"/>
    <n v="700"/>
    <n v="0.45"/>
    <x v="1"/>
    <n v="318"/>
    <n v="17"/>
    <x v="21"/>
    <x v="3"/>
  </r>
  <r>
    <x v="68"/>
    <n v="2300"/>
    <n v="3240"/>
    <n v="0.28999999999999998"/>
    <x v="0"/>
    <n v="940"/>
    <n v="5"/>
    <x v="14"/>
    <x v="1"/>
  </r>
  <r>
    <x v="69"/>
    <n v="345"/>
    <n v="602"/>
    <n v="0.43"/>
    <x v="1"/>
    <n v="257"/>
    <n v="6"/>
    <x v="20"/>
    <x v="3"/>
  </r>
  <r>
    <x v="70"/>
    <n v="509"/>
    <n v="899"/>
    <n v="0.43"/>
    <x v="1"/>
    <n v="390"/>
    <n v="5"/>
    <x v="14"/>
    <x v="1"/>
  </r>
  <r>
    <x v="71"/>
    <n v="968"/>
    <n v="1814"/>
    <n v="0.47"/>
    <x v="1"/>
    <n v="846"/>
    <n v="6"/>
    <x v="19"/>
    <x v="3"/>
  </r>
  <r>
    <x v="72"/>
    <n v="1570"/>
    <n v="2988"/>
    <n v="0.47"/>
    <x v="1"/>
    <n v="1418"/>
    <n v="7"/>
    <x v="15"/>
    <x v="3"/>
  </r>
  <r>
    <x v="73"/>
    <n v="790"/>
    <n v="1485"/>
    <n v="0.47"/>
    <x v="1"/>
    <n v="695"/>
    <s v="null"/>
    <x v="10"/>
    <x v="2"/>
  </r>
  <r>
    <x v="74"/>
    <n v="690"/>
    <n v="1200"/>
    <n v="0.43"/>
    <x v="1"/>
    <n v="510"/>
    <s v="null"/>
    <x v="10"/>
    <x v="2"/>
  </r>
  <r>
    <x v="75"/>
    <n v="1732"/>
    <n v="1799"/>
    <n v="0.04"/>
    <x v="2"/>
    <n v="67"/>
    <s v="null"/>
    <x v="10"/>
    <x v="2"/>
  </r>
  <r>
    <x v="76"/>
    <n v="230"/>
    <n v="450"/>
    <n v="0.49"/>
    <x v="1"/>
    <n v="220"/>
    <s v="null"/>
    <x v="10"/>
    <x v="2"/>
  </r>
  <r>
    <x v="77"/>
    <n v="1189"/>
    <n v="2199"/>
    <n v="0.46"/>
    <x v="1"/>
    <n v="1010"/>
    <n v="1"/>
    <x v="14"/>
    <x v="1"/>
  </r>
  <r>
    <x v="78"/>
    <n v="979"/>
    <n v="1920"/>
    <n v="0.49"/>
    <x v="1"/>
    <n v="941"/>
    <n v="1"/>
    <x v="8"/>
    <x v="0"/>
  </r>
  <r>
    <x v="79"/>
    <n v="1460"/>
    <n v="2290"/>
    <n v="0.36"/>
    <x v="0"/>
    <n v="830"/>
    <s v="null"/>
    <x v="10"/>
    <x v="2"/>
  </r>
  <r>
    <x v="80"/>
    <n v="1666"/>
    <n v="1699"/>
    <n v="0.02"/>
    <x v="2"/>
    <n v="33"/>
    <s v="null"/>
    <x v="10"/>
    <x v="2"/>
  </r>
  <r>
    <x v="81"/>
    <n v="330"/>
    <n v="647"/>
    <n v="0.49"/>
    <x v="1"/>
    <n v="317"/>
    <n v="1"/>
    <x v="5"/>
    <x v="1"/>
  </r>
  <r>
    <x v="48"/>
    <n v="176"/>
    <n v="345"/>
    <n v="0.49"/>
    <x v="1"/>
    <n v="169"/>
    <s v="null"/>
    <x v="10"/>
    <x v="2"/>
  </r>
  <r>
    <x v="82"/>
    <n v="1466"/>
    <n v="1699"/>
    <n v="0.14000000000000001"/>
    <x v="2"/>
    <n v="233"/>
    <s v="null"/>
    <x v="10"/>
    <x v="2"/>
  </r>
  <r>
    <x v="83"/>
    <n v="274"/>
    <n v="537"/>
    <n v="0.49"/>
    <x v="1"/>
    <n v="263"/>
    <s v="null"/>
    <x v="10"/>
    <x v="2"/>
  </r>
  <r>
    <x v="84"/>
    <n v="799"/>
    <n v="900"/>
    <n v="0.11"/>
    <x v="2"/>
    <n v="101"/>
    <s v="null"/>
    <x v="10"/>
    <x v="2"/>
  </r>
  <r>
    <x v="56"/>
    <n v="657"/>
    <n v="1288"/>
    <n v="0.49"/>
    <x v="1"/>
    <n v="631"/>
    <s v="null"/>
    <x v="10"/>
    <x v="2"/>
  </r>
  <r>
    <x v="85"/>
    <n v="1468"/>
    <n v="1699"/>
    <n v="0.14000000000000001"/>
    <x v="2"/>
    <n v="231"/>
    <s v="null"/>
    <x v="10"/>
    <x v="2"/>
  </r>
  <r>
    <x v="86"/>
    <n v="630"/>
    <n v="1100"/>
    <n v="0.43"/>
    <x v="1"/>
    <n v="470"/>
    <s v="null"/>
    <x v="10"/>
    <x v="2"/>
  </r>
  <r>
    <x v="87"/>
    <n v="850"/>
    <n v="1700"/>
    <n v="0.5"/>
    <x v="1"/>
    <n v="850"/>
    <s v="null"/>
    <x v="10"/>
    <x v="2"/>
  </r>
  <r>
    <x v="88"/>
    <n v="1300"/>
    <n v="2500"/>
    <n v="0.48"/>
    <x v="1"/>
    <n v="1200"/>
    <s v="null"/>
    <x v="10"/>
    <x v="2"/>
  </r>
  <r>
    <x v="89"/>
    <n v="105"/>
    <n v="200"/>
    <n v="0.48"/>
    <x v="1"/>
    <n v="95"/>
    <s v="null"/>
    <x v="10"/>
    <x v="2"/>
  </r>
  <r>
    <x v="90"/>
    <n v="899"/>
    <n v="1699"/>
    <n v="0.47"/>
    <x v="1"/>
    <n v="800"/>
    <s v="null"/>
    <x v="10"/>
    <x v="2"/>
  </r>
  <r>
    <x v="91"/>
    <n v="1200"/>
    <n v="2400"/>
    <n v="0.5"/>
    <x v="1"/>
    <n v="1200"/>
    <s v="null"/>
    <x v="10"/>
    <x v="2"/>
  </r>
  <r>
    <x v="92"/>
    <n v="1526"/>
    <n v="1660"/>
    <n v="0.08"/>
    <x v="2"/>
    <n v="134"/>
    <s v="null"/>
    <x v="10"/>
    <x v="2"/>
  </r>
  <r>
    <x v="93"/>
    <n v="1462"/>
    <n v="1499"/>
    <n v="0.02"/>
    <x v="2"/>
    <n v="37"/>
    <s v="null"/>
    <x v="10"/>
    <x v="2"/>
  </r>
  <r>
    <x v="94"/>
    <n v="248"/>
    <n v="486"/>
    <n v="0.49"/>
    <x v="1"/>
    <n v="238"/>
    <s v="null"/>
    <x v="10"/>
    <x v="2"/>
  </r>
  <r>
    <x v="95"/>
    <n v="3546"/>
    <n v="3699"/>
    <n v="0.04"/>
    <x v="2"/>
    <n v="153"/>
    <s v="null"/>
    <x v="10"/>
    <x v="2"/>
  </r>
  <r>
    <x v="96"/>
    <n v="525"/>
    <n v="1029"/>
    <n v="0.49"/>
    <x v="1"/>
    <n v="504"/>
    <s v="null"/>
    <x v="10"/>
    <x v="2"/>
  </r>
  <r>
    <x v="97"/>
    <n v="1080"/>
    <n v="1874"/>
    <n v="0.42"/>
    <x v="1"/>
    <n v="794"/>
    <s v="null"/>
    <x v="10"/>
    <x v="2"/>
  </r>
  <r>
    <x v="98"/>
    <n v="3640"/>
    <n v="4588"/>
    <n v="0.21"/>
    <x v="0"/>
    <n v="948"/>
    <n v="1"/>
    <x v="8"/>
    <x v="0"/>
  </r>
  <r>
    <x v="99"/>
    <n v="1420"/>
    <n v="2420"/>
    <n v="0.41"/>
    <x v="1"/>
    <n v="1000"/>
    <s v="null"/>
    <x v="10"/>
    <x v="2"/>
  </r>
  <r>
    <x v="100"/>
    <n v="1875"/>
    <n v="1899"/>
    <n v="0.01"/>
    <x v="2"/>
    <n v="24"/>
    <s v="null"/>
    <x v="10"/>
    <x v="2"/>
  </r>
  <r>
    <x v="101"/>
    <n v="198"/>
    <n v="260"/>
    <n v="0.24"/>
    <x v="0"/>
    <n v="62"/>
    <s v="null"/>
    <x v="10"/>
    <x v="2"/>
  </r>
  <r>
    <x v="102"/>
    <n v="1150"/>
    <n v="1737"/>
    <n v="0.34"/>
    <x v="0"/>
    <n v="587"/>
    <s v="null"/>
    <x v="10"/>
    <x v="2"/>
  </r>
  <r>
    <x v="103"/>
    <n v="1190"/>
    <n v="1810"/>
    <n v="0.34"/>
    <x v="0"/>
    <n v="620"/>
    <s v="null"/>
    <x v="10"/>
    <x v="2"/>
  </r>
  <r>
    <x v="104"/>
    <n v="1658"/>
    <n v="1699"/>
    <n v="0.02"/>
    <x v="2"/>
    <n v="41"/>
    <s v="null"/>
    <x v="10"/>
    <x v="2"/>
  </r>
  <r>
    <x v="105"/>
    <n v="1768"/>
    <n v="1799"/>
    <n v="0.02"/>
    <x v="2"/>
    <n v="31"/>
    <s v="null"/>
    <x v="10"/>
    <x v="2"/>
  </r>
  <r>
    <x v="106"/>
    <n v="199"/>
    <n v="553"/>
    <n v="0.64"/>
    <x v="1"/>
    <n v="354"/>
    <s v="null"/>
    <x v="10"/>
    <x v="2"/>
  </r>
  <r>
    <x v="107"/>
    <n v="450"/>
    <n v="900"/>
    <n v="0.5"/>
    <x v="1"/>
    <n v="450"/>
    <n v="1"/>
    <x v="22"/>
    <x v="3"/>
  </r>
  <r>
    <x v="108"/>
    <n v="169"/>
    <n v="320"/>
    <n v="0.47"/>
    <x v="1"/>
    <n v="151"/>
    <s v="null"/>
    <x v="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AE91AF-89B9-4B7D-8472-2E3BF71FDED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27" firstHeaderRow="1" firstDataRow="1" firstDataCol="1"/>
  <pivotFields count="9">
    <pivotField showAll="0"/>
    <pivotField numFmtId="2" showAll="0"/>
    <pivotField numFmtId="2" showAll="0"/>
    <pivotField numFmtId="9" showAll="0"/>
    <pivotField showAll="0">
      <items count="4">
        <item x="1"/>
        <item x="2"/>
        <item x="0"/>
        <item t="default"/>
      </items>
    </pivotField>
    <pivotField numFmtId="2" showAll="0"/>
    <pivotField dataField="1" showAll="0"/>
    <pivotField axis="axisRow" showAll="0">
      <items count="24">
        <item x="22"/>
        <item x="15"/>
        <item x="19"/>
        <item x="20"/>
        <item x="13"/>
        <item x="21"/>
        <item x="17"/>
        <item x="16"/>
        <item x="18"/>
        <item x="14"/>
        <item x="9"/>
        <item x="6"/>
        <item x="5"/>
        <item x="1"/>
        <item x="7"/>
        <item x="12"/>
        <item x="11"/>
        <item x="0"/>
        <item x="2"/>
        <item x="3"/>
        <item x="4"/>
        <item x="8"/>
        <item x="10"/>
        <item t="default"/>
      </items>
    </pivotField>
    <pivotField showAll="0">
      <items count="5">
        <item x="1"/>
        <item x="0"/>
        <item x="2"/>
        <item x="3"/>
        <item t="default"/>
      </items>
    </pivotField>
  </pivotFields>
  <rowFields count="1">
    <field x="7"/>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Review" fld="6" baseField="7"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15486E-D17E-4EED-9170-F6728A648D8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ottom Rated Products">
  <location ref="A50:B68"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2" showAll="0"/>
    <pivotField numFmtId="2" showAll="0"/>
    <pivotField numFmtId="9" showAll="0"/>
    <pivotField showAll="0">
      <items count="4">
        <item x="1"/>
        <item x="2"/>
        <item x="0"/>
        <item t="default"/>
      </items>
    </pivotField>
    <pivotField numFmtId="2" showAll="0"/>
    <pivotField showAll="0"/>
    <pivotField dataField="1" showAll="0"/>
    <pivotField showAll="0">
      <items count="5">
        <item x="1"/>
        <item x="0"/>
        <item x="2"/>
        <item x="3"/>
        <item t="default"/>
      </items>
    </pivotField>
  </pivotFields>
  <rowFields count="1">
    <field x="0"/>
  </rowFields>
  <rowItems count="18">
    <i>
      <x v="5"/>
    </i>
    <i>
      <x v="16"/>
    </i>
    <i>
      <x v="17"/>
    </i>
    <i>
      <x v="25"/>
    </i>
    <i>
      <x v="30"/>
    </i>
    <i>
      <x v="35"/>
    </i>
    <i>
      <x v="38"/>
    </i>
    <i>
      <x v="41"/>
    </i>
    <i>
      <x v="58"/>
    </i>
    <i>
      <x v="64"/>
    </i>
    <i>
      <x v="66"/>
    </i>
    <i>
      <x v="76"/>
    </i>
    <i>
      <x v="84"/>
    </i>
    <i>
      <x v="101"/>
    </i>
    <i>
      <x v="104"/>
    </i>
    <i>
      <x v="106"/>
    </i>
    <i>
      <x v="108"/>
    </i>
    <i t="grand">
      <x/>
    </i>
  </rowItems>
  <colItems count="1">
    <i/>
  </colItems>
  <dataFields count="1">
    <dataField name="Min of Rating" fld="7" subtotal="min" baseField="0" baseItem="40"/>
  </dataFields>
  <pivotTableStyleInfo name="PivotStyleLight16" showRowHeaders="1" showColHeaders="1" showRowStripes="0" showColStripes="0" showLastColumn="1"/>
  <filters count="1">
    <filter fld="0" type="valueBetween" evalOrder="-1" id="3" iMeasureFld="0">
      <autoFilter ref="A1">
        <filterColumn colId="0">
          <customFilters and="1">
            <customFilter operator="greaterThanOrEqual" val="0.1"/>
            <customFilter operator="lessThanOrEqual" val="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774971-8789-4AA4-B34F-77BA1A1D8291}"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Top 5 Highest Rated Products">
  <location ref="A37:B45"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2" showAll="0"/>
    <pivotField numFmtId="2" showAll="0"/>
    <pivotField numFmtId="9" showAll="0"/>
    <pivotField showAll="0">
      <items count="4">
        <item x="1"/>
        <item x="2"/>
        <item x="0"/>
        <item t="default"/>
      </items>
    </pivotField>
    <pivotField numFmtId="2" showAll="0"/>
    <pivotField showAll="0"/>
    <pivotField dataField="1" showAll="0"/>
    <pivotField showAll="0">
      <items count="5">
        <item x="1"/>
        <item x="0"/>
        <item x="2"/>
        <item x="3"/>
        <item t="default"/>
      </items>
    </pivotField>
  </pivotFields>
  <rowFields count="1">
    <field x="0"/>
  </rowFields>
  <rowItems count="8">
    <i>
      <x v="40"/>
    </i>
    <i>
      <x v="44"/>
    </i>
    <i>
      <x v="52"/>
    </i>
    <i>
      <x v="57"/>
    </i>
    <i>
      <x v="65"/>
    </i>
    <i>
      <x v="68"/>
    </i>
    <i>
      <x v="87"/>
    </i>
    <i t="grand">
      <x/>
    </i>
  </rowItems>
  <colItems count="1">
    <i/>
  </colItems>
  <dataFields count="1">
    <dataField name="Max of Rating" fld="7" subtotal="max"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2FF3EC-A690-4BAB-A0E8-64A4C53EC56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Top 10 Products ">
  <location ref="A21:B32" firstHeaderRow="1" firstDataRow="1" firstDataCol="1"/>
  <pivotFields count="9">
    <pivotField axis="axisRow" showAll="0" measureFilter="1" sortType="a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9" showAll="0"/>
    <pivotField showAll="0">
      <items count="4">
        <item x="1"/>
        <item x="2"/>
        <item x="0"/>
        <item t="default"/>
      </items>
    </pivotField>
    <pivotField numFmtId="2" showAll="0"/>
    <pivotField dataField="1" showAll="0"/>
    <pivotField showAll="0"/>
    <pivotField showAll="0">
      <items count="5">
        <item x="1"/>
        <item x="0"/>
        <item x="2"/>
        <item x="3"/>
        <item t="default"/>
      </items>
    </pivotField>
  </pivotFields>
  <rowFields count="1">
    <field x="0"/>
  </rowFields>
  <rowItems count="11">
    <i>
      <x v="26"/>
    </i>
    <i>
      <x v="28"/>
    </i>
    <i>
      <x v="91"/>
    </i>
    <i>
      <x v="27"/>
    </i>
    <i>
      <x v="95"/>
    </i>
    <i>
      <x v="1"/>
    </i>
    <i>
      <x v="18"/>
    </i>
    <i>
      <x v="59"/>
    </i>
    <i>
      <x v="8"/>
    </i>
    <i>
      <x v="5"/>
    </i>
    <i t="grand">
      <x/>
    </i>
  </rowItems>
  <colItems count="1">
    <i/>
  </colItems>
  <dataFields count="1">
    <dataField name="Sum of Review"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660983-5A65-46B7-9631-87615622D4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op 10 Products ">
  <location ref="A3:B15" firstHeaderRow="1" firstDataRow="1" firstDataCol="1"/>
  <pivotFields count="9">
    <pivotField axis="axisRow" showAll="0" measureFilter="1" sortType="a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9" showAll="0"/>
    <pivotField showAll="0">
      <items count="4">
        <item x="1"/>
        <item x="2"/>
        <item x="0"/>
        <item t="default"/>
      </items>
    </pivotField>
    <pivotField numFmtId="2" showAll="0"/>
    <pivotField showAll="0"/>
    <pivotField showAll="0"/>
    <pivotField showAll="0">
      <items count="5">
        <item x="1"/>
        <item x="0"/>
        <item x="2"/>
        <item x="3"/>
        <item t="default"/>
      </items>
    </pivotField>
  </pivotFields>
  <rowFields count="1">
    <field x="0"/>
  </rowFields>
  <rowItems count="12">
    <i>
      <x v="60"/>
    </i>
    <i>
      <x v="64"/>
    </i>
    <i>
      <x v="20"/>
    </i>
    <i>
      <x v="52"/>
    </i>
    <i>
      <x v="84"/>
    </i>
    <i>
      <x v="67"/>
    </i>
    <i>
      <x v="99"/>
    </i>
    <i>
      <x v="70"/>
    </i>
    <i>
      <x v="30"/>
    </i>
    <i>
      <x v="53"/>
    </i>
    <i>
      <x v="31"/>
    </i>
    <i t="grand">
      <x/>
    </i>
  </rowItems>
  <colItems count="1">
    <i/>
  </colItems>
  <dataFields count="1">
    <dataField name=" Discount" fld="3" subtotal="max" baseField="0" baseItem="99" numFmtId="9"/>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476118-DFCC-4C91-A623-301E93F9250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J10" firstHeaderRow="1" firstDataRow="2" firstDataCol="1"/>
  <pivotFields count="9">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2" showAll="0"/>
    <pivotField numFmtId="2" showAll="0"/>
    <pivotField numFmtId="9" showAll="0"/>
    <pivotField axis="axisCol" showAll="0">
      <items count="4">
        <item x="1"/>
        <item x="2"/>
        <item x="0"/>
        <item t="default"/>
      </items>
    </pivotField>
    <pivotField numFmtId="2" showAll="0"/>
    <pivotField showAll="0"/>
    <pivotField showAll="0"/>
    <pivotField axis="axisRow" showAll="0">
      <items count="5">
        <item x="1"/>
        <item x="0"/>
        <item x="2"/>
        <item x="3"/>
        <item t="default"/>
      </items>
    </pivotField>
  </pivotFields>
  <rowFields count="1">
    <field x="8"/>
  </rowFields>
  <rowItems count="5">
    <i>
      <x/>
    </i>
    <i>
      <x v="1"/>
    </i>
    <i>
      <x v="2"/>
    </i>
    <i>
      <x v="3"/>
    </i>
    <i t="grand">
      <x/>
    </i>
  </rowItems>
  <colFields count="1">
    <field x="4"/>
  </colFields>
  <colItems count="4">
    <i>
      <x/>
    </i>
    <i>
      <x v="1"/>
    </i>
    <i>
      <x v="2"/>
    </i>
    <i t="grand">
      <x/>
    </i>
  </colItems>
  <dataFields count="1">
    <dataField name="Count of Product" fld="0" subtotal="count" baseField="0" baseItem="0"/>
  </dataFields>
  <formats count="2">
    <format dxfId="2">
      <pivotArea collapsedLevelsAreSubtotals="1" fieldPosition="0">
        <references count="2">
          <reference field="4" count="1" selected="0">
            <x v="0"/>
          </reference>
          <reference field="8" count="1">
            <x v="3"/>
          </reference>
        </references>
      </pivotArea>
    </format>
    <format dxfId="3">
      <pivotArea collapsedLevelsAreSubtotals="1" fieldPosition="0">
        <references count="2">
          <reference field="4" count="1" selected="0">
            <x v="0"/>
          </reference>
          <reference field="8"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F10992-B85C-45E6-8C95-F7F37FBD470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7" firstHeaderRow="0" firstDataRow="1" firstDataCol="1"/>
  <pivotFields count="9">
    <pivotField showAll="0"/>
    <pivotField numFmtId="2" showAll="0"/>
    <pivotField numFmtId="2" showAll="0"/>
    <pivotField numFmtId="9" showAll="0"/>
    <pivotField axis="axisRow" showAll="0">
      <items count="4">
        <item x="1"/>
        <item x="2"/>
        <item x="0"/>
        <item t="default"/>
      </items>
    </pivotField>
    <pivotField numFmtId="2" showAll="0"/>
    <pivotField dataField="1" showAll="0"/>
    <pivotField dataField="1" showAll="0"/>
    <pivotField showAll="0">
      <items count="5">
        <item x="1"/>
        <item x="0"/>
        <item x="2"/>
        <item x="3"/>
        <item t="default"/>
      </items>
    </pivotField>
  </pivotFields>
  <rowFields count="1">
    <field x="4"/>
  </rowFields>
  <rowItems count="4">
    <i>
      <x/>
    </i>
    <i>
      <x v="1"/>
    </i>
    <i>
      <x v="2"/>
    </i>
    <i t="grand">
      <x/>
    </i>
  </rowItems>
  <colFields count="1">
    <field x="-2"/>
  </colFields>
  <colItems count="2">
    <i>
      <x/>
    </i>
    <i i="1">
      <x v="1"/>
    </i>
  </colItems>
  <dataFields count="2">
    <dataField name="Count of Review" fld="6" subtotal="count" baseField="0" baseItem="0"/>
    <dataField name="Average of Rating" fld="7" subtotal="average" baseField="4"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EB18D5-20EC-4C8B-A4DF-DB153DDA615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9">
    <pivotField dataField="1" showAll="0"/>
    <pivotField numFmtId="2" showAll="0"/>
    <pivotField numFmtId="2" showAll="0"/>
    <pivotField dataField="1" numFmtId="9" showAll="0"/>
    <pivotField showAll="0">
      <items count="4">
        <item x="1"/>
        <item x="2"/>
        <item x="0"/>
        <item t="default"/>
      </items>
    </pivotField>
    <pivotField numFmtId="2" showAll="0"/>
    <pivotField dataField="1" showAll="0"/>
    <pivotField dataField="1" showAll="0"/>
    <pivotField showAll="0">
      <items count="5">
        <item x="1"/>
        <item x="0"/>
        <item x="2"/>
        <item x="3"/>
        <item t="default"/>
      </items>
    </pivotField>
  </pivotFields>
  <rowItems count="1">
    <i/>
  </rowItems>
  <colFields count="1">
    <field x="-2"/>
  </colFields>
  <colItems count="4">
    <i>
      <x/>
    </i>
    <i i="1">
      <x v="1"/>
    </i>
    <i i="2">
      <x v="2"/>
    </i>
    <i i="3">
      <x v="3"/>
    </i>
  </colItems>
  <dataFields count="4">
    <dataField name="Count of Product" fld="0" subtotal="count" baseField="0" baseItem="0"/>
    <dataField name="Average of Rating" fld="7" subtotal="average" baseField="0" baseItem="1" numFmtId="164"/>
    <dataField name="Average of Discount" fld="3" subtotal="average" baseField="0" baseItem="1" numFmtId="9"/>
    <dataField name="Sum of Review" fld="6"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87196F82-67BD-4569-AC2B-FA6FA19E3F84}" sourceName="Discount Category">
  <pivotTables>
    <pivotTable tabId="8" name="PivotTable6"/>
    <pivotTable tabId="7" name="PivotTable5"/>
    <pivotTable tabId="6" name="PivotTable1"/>
    <pivotTable tabId="6" name="PivotTable2"/>
    <pivotTable tabId="6" name="PivotTable3"/>
    <pivotTable tabId="6" name="PivotTable4"/>
    <pivotTable tabId="6" name="PivotTable9"/>
    <pivotTable tabId="5" name="PivotTable14"/>
  </pivotTables>
  <data>
    <tabular pivotCacheId="21178818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3732F6F8-E2F4-4952-9F65-AAD30944A0E5}" sourceName="Rating Category">
  <pivotTables>
    <pivotTable tabId="8" name="PivotTable6"/>
    <pivotTable tabId="7" name="PivotTable5"/>
    <pivotTable tabId="6" name="PivotTable1"/>
    <pivotTable tabId="6" name="PivotTable2"/>
    <pivotTable tabId="6" name="PivotTable3"/>
    <pivotTable tabId="6" name="PivotTable4"/>
    <pivotTable tabId="6" name="PivotTable9"/>
    <pivotTable tabId="5" name="PivotTable14"/>
  </pivotTables>
  <data>
    <tabular pivotCacheId="211788187">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3A8AB9DB-D0B0-4A8D-93F1-935226C7EF0B}" cache="Slicer_Discount_Category" caption="Discount Category" rowHeight="241300"/>
  <slicer name="Rating Category" xr10:uid="{89102B0A-4A72-499B-A14F-1D0EE31FF1AF}" cache="Slicer_Rating_Category" caption="Rating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2" xr10:uid="{9941555F-83E5-4F39-9C10-A40336F33B17}" cache="Slicer_Discount_Category" caption="Discount Category" style="Slicer Style 1" rowHeight="241300"/>
  <slicer name="Rating Category 2" xr10:uid="{D5CEC06E-E29E-4C59-9564-19C91F85D8ED}" cache="Slicer_Rating_Category" caption="Rating Category" style="Slicer Style 1" rowHeight="241300"/>
</slicers>
</file>

<file path=xl/theme/theme1.xml><?xml version="1.0" encoding="utf-8"?>
<a:theme xmlns:a="http://schemas.openxmlformats.org/drawingml/2006/main" name="Office Theme">
  <a:themeElements>
    <a:clrScheme name="Custom 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3.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75736-BDFC-4A32-8B78-686A2ADCC352}">
  <dimension ref="A1:F116"/>
  <sheetViews>
    <sheetView workbookViewId="0">
      <pane ySplit="1" topLeftCell="A35" activePane="bottomLeft" state="frozen"/>
      <selection pane="bottomLeft" activeCell="J59" sqref="J59"/>
    </sheetView>
  </sheetViews>
  <sheetFormatPr defaultRowHeight="14.5" x14ac:dyDescent="0.35"/>
  <cols>
    <col min="1" max="1" width="89.1796875" bestFit="1" customWidth="1"/>
    <col min="2" max="3" width="18.36328125" bestFit="1" customWidth="1"/>
    <col min="4" max="4" width="8.08984375" bestFit="1" customWidth="1"/>
    <col min="5" max="5" width="6.7265625" bestFit="1" customWidth="1"/>
    <col min="6" max="6" width="10.26953125" bestFit="1" customWidth="1"/>
  </cols>
  <sheetData>
    <row r="1" spans="1:6" x14ac:dyDescent="0.35">
      <c r="A1" t="s">
        <v>0</v>
      </c>
      <c r="B1" t="s">
        <v>153</v>
      </c>
      <c r="C1" t="s">
        <v>154</v>
      </c>
      <c r="D1" t="s">
        <v>1</v>
      </c>
      <c r="E1" t="s">
        <v>2</v>
      </c>
      <c r="F1" t="s">
        <v>155</v>
      </c>
    </row>
    <row r="2" spans="1:6" x14ac:dyDescent="0.35">
      <c r="A2" t="s">
        <v>3</v>
      </c>
      <c r="B2" t="s">
        <v>156</v>
      </c>
      <c r="C2" t="s">
        <v>157</v>
      </c>
      <c r="D2" s="1">
        <v>0.38</v>
      </c>
      <c r="E2">
        <v>-2</v>
      </c>
      <c r="F2" t="s">
        <v>158</v>
      </c>
    </row>
    <row r="3" spans="1:6" x14ac:dyDescent="0.35">
      <c r="A3" t="s">
        <v>4</v>
      </c>
      <c r="B3" t="s">
        <v>159</v>
      </c>
      <c r="C3" t="s">
        <v>160</v>
      </c>
      <c r="D3" s="1">
        <v>0.47</v>
      </c>
      <c r="E3">
        <v>-14</v>
      </c>
      <c r="F3" t="s">
        <v>161</v>
      </c>
    </row>
    <row r="4" spans="1:6" x14ac:dyDescent="0.35">
      <c r="A4" t="s">
        <v>5</v>
      </c>
      <c r="B4" t="s">
        <v>162</v>
      </c>
      <c r="C4" t="s">
        <v>163</v>
      </c>
      <c r="D4" s="1">
        <v>0.25</v>
      </c>
      <c r="E4">
        <v>-24</v>
      </c>
      <c r="F4" t="s">
        <v>164</v>
      </c>
    </row>
    <row r="5" spans="1:6" x14ac:dyDescent="0.35">
      <c r="A5" t="s">
        <v>6</v>
      </c>
      <c r="B5" t="s">
        <v>165</v>
      </c>
      <c r="C5" t="s">
        <v>166</v>
      </c>
      <c r="D5" s="1">
        <v>0.37</v>
      </c>
      <c r="E5">
        <v>-7</v>
      </c>
      <c r="F5" t="s">
        <v>167</v>
      </c>
    </row>
    <row r="6" spans="1:6" x14ac:dyDescent="0.35">
      <c r="A6" t="s">
        <v>7</v>
      </c>
      <c r="B6" t="s">
        <v>168</v>
      </c>
      <c r="C6" t="s">
        <v>169</v>
      </c>
      <c r="D6" s="1">
        <v>0.26</v>
      </c>
      <c r="E6">
        <v>-5</v>
      </c>
      <c r="F6" t="s">
        <v>170</v>
      </c>
    </row>
    <row r="7" spans="1:6" x14ac:dyDescent="0.35">
      <c r="A7" t="s">
        <v>8</v>
      </c>
      <c r="B7" t="s">
        <v>171</v>
      </c>
      <c r="C7" t="s">
        <v>172</v>
      </c>
      <c r="D7" s="1">
        <v>0.09</v>
      </c>
      <c r="E7">
        <v>-15</v>
      </c>
      <c r="F7" t="s">
        <v>173</v>
      </c>
    </row>
    <row r="8" spans="1:6" x14ac:dyDescent="0.35">
      <c r="A8" t="s">
        <v>9</v>
      </c>
      <c r="B8" t="s">
        <v>174</v>
      </c>
      <c r="C8" t="s">
        <v>175</v>
      </c>
      <c r="D8" s="1">
        <v>0.24</v>
      </c>
      <c r="E8">
        <v>-55</v>
      </c>
      <c r="F8" t="s">
        <v>164</v>
      </c>
    </row>
    <row r="9" spans="1:6" x14ac:dyDescent="0.35">
      <c r="A9" t="s">
        <v>10</v>
      </c>
      <c r="B9" t="s">
        <v>176</v>
      </c>
      <c r="C9" t="s">
        <v>165</v>
      </c>
      <c r="D9" s="1">
        <v>0.37</v>
      </c>
      <c r="E9">
        <v>-2</v>
      </c>
      <c r="F9" t="s">
        <v>173</v>
      </c>
    </row>
    <row r="10" spans="1:6" x14ac:dyDescent="0.35">
      <c r="A10" t="s">
        <v>11</v>
      </c>
      <c r="B10" t="s">
        <v>177</v>
      </c>
      <c r="C10" t="s">
        <v>178</v>
      </c>
      <c r="D10" s="1">
        <v>0.55000000000000004</v>
      </c>
      <c r="E10">
        <v>-5</v>
      </c>
      <c r="F10" t="s">
        <v>170</v>
      </c>
    </row>
    <row r="11" spans="1:6" x14ac:dyDescent="0.35">
      <c r="A11" t="s">
        <v>12</v>
      </c>
      <c r="B11" t="s">
        <v>179</v>
      </c>
      <c r="C11" t="s">
        <v>180</v>
      </c>
      <c r="D11" s="1">
        <v>0.45</v>
      </c>
      <c r="E11">
        <v>-5</v>
      </c>
      <c r="F11" t="s">
        <v>181</v>
      </c>
    </row>
    <row r="12" spans="1:6" x14ac:dyDescent="0.35">
      <c r="A12" t="s">
        <v>13</v>
      </c>
      <c r="B12" t="s">
        <v>182</v>
      </c>
      <c r="C12" t="s">
        <v>160</v>
      </c>
      <c r="D12" s="1">
        <v>0.2</v>
      </c>
      <c r="E12">
        <v>-12</v>
      </c>
      <c r="F12" t="s">
        <v>161</v>
      </c>
    </row>
    <row r="13" spans="1:6" x14ac:dyDescent="0.35">
      <c r="A13" t="s">
        <v>14</v>
      </c>
      <c r="B13" t="s">
        <v>183</v>
      </c>
      <c r="C13" t="s">
        <v>184</v>
      </c>
      <c r="D13" s="1">
        <v>0.34</v>
      </c>
      <c r="E13">
        <v>-39</v>
      </c>
      <c r="F13" t="s">
        <v>167</v>
      </c>
    </row>
    <row r="14" spans="1:6" x14ac:dyDescent="0.35">
      <c r="A14" t="s">
        <v>15</v>
      </c>
      <c r="B14" t="s">
        <v>185</v>
      </c>
      <c r="C14" t="s">
        <v>186</v>
      </c>
      <c r="D14" s="1">
        <v>0.47</v>
      </c>
      <c r="E14">
        <v>-12</v>
      </c>
      <c r="F14" t="s">
        <v>170</v>
      </c>
    </row>
    <row r="15" spans="1:6" x14ac:dyDescent="0.35">
      <c r="A15" t="s">
        <v>16</v>
      </c>
      <c r="B15" t="s">
        <v>187</v>
      </c>
      <c r="C15" t="s">
        <v>188</v>
      </c>
      <c r="D15" s="1">
        <v>0.42</v>
      </c>
      <c r="E15">
        <v>-6</v>
      </c>
      <c r="F15" t="s">
        <v>158</v>
      </c>
    </row>
    <row r="16" spans="1:6" x14ac:dyDescent="0.35">
      <c r="A16" t="s">
        <v>17</v>
      </c>
      <c r="B16" t="s">
        <v>189</v>
      </c>
      <c r="C16" t="s">
        <v>166</v>
      </c>
      <c r="D16" s="1">
        <v>0.33</v>
      </c>
      <c r="E16">
        <v>-9</v>
      </c>
      <c r="F16" t="s">
        <v>190</v>
      </c>
    </row>
    <row r="17" spans="1:6" x14ac:dyDescent="0.35">
      <c r="A17" t="s">
        <v>18</v>
      </c>
      <c r="B17" t="s">
        <v>191</v>
      </c>
      <c r="C17" t="s">
        <v>192</v>
      </c>
      <c r="D17" s="1">
        <v>0.51</v>
      </c>
      <c r="E17">
        <v>-2</v>
      </c>
      <c r="F17" t="s">
        <v>193</v>
      </c>
    </row>
    <row r="18" spans="1:6" x14ac:dyDescent="0.35">
      <c r="A18" t="s">
        <v>19</v>
      </c>
      <c r="B18" t="s">
        <v>194</v>
      </c>
      <c r="C18" t="s">
        <v>195</v>
      </c>
      <c r="D18" s="1">
        <v>0.46</v>
      </c>
      <c r="E18">
        <v>-2</v>
      </c>
      <c r="F18" t="s">
        <v>193</v>
      </c>
    </row>
    <row r="19" spans="1:6" x14ac:dyDescent="0.35">
      <c r="A19" t="s">
        <v>20</v>
      </c>
      <c r="B19" t="s">
        <v>196</v>
      </c>
      <c r="C19" t="s">
        <v>197</v>
      </c>
      <c r="D19" s="1">
        <v>0.49</v>
      </c>
      <c r="E19">
        <v>-3</v>
      </c>
      <c r="F19" t="s">
        <v>193</v>
      </c>
    </row>
    <row r="20" spans="1:6" x14ac:dyDescent="0.35">
      <c r="A20" t="s">
        <v>21</v>
      </c>
      <c r="B20" t="s">
        <v>171</v>
      </c>
      <c r="C20" t="s">
        <v>198</v>
      </c>
      <c r="D20" s="1">
        <v>0.19</v>
      </c>
      <c r="E20">
        <v>-5</v>
      </c>
      <c r="F20" t="s">
        <v>164</v>
      </c>
    </row>
    <row r="21" spans="1:6" x14ac:dyDescent="0.35">
      <c r="A21" t="s">
        <v>22</v>
      </c>
      <c r="B21" t="s">
        <v>199</v>
      </c>
      <c r="C21" t="s">
        <v>200</v>
      </c>
      <c r="D21" s="1">
        <v>0.49</v>
      </c>
      <c r="E21">
        <v>-44</v>
      </c>
      <c r="F21" t="s">
        <v>164</v>
      </c>
    </row>
    <row r="22" spans="1:6" x14ac:dyDescent="0.35">
      <c r="A22" t="s">
        <v>23</v>
      </c>
      <c r="B22" t="s">
        <v>201</v>
      </c>
      <c r="C22" t="s">
        <v>202</v>
      </c>
      <c r="D22" s="1">
        <v>0.53</v>
      </c>
      <c r="E22">
        <v>-13</v>
      </c>
      <c r="F22" t="s">
        <v>203</v>
      </c>
    </row>
    <row r="23" spans="1:6" x14ac:dyDescent="0.35">
      <c r="A23" t="s">
        <v>24</v>
      </c>
      <c r="B23" t="s">
        <v>204</v>
      </c>
      <c r="C23" t="s">
        <v>205</v>
      </c>
      <c r="D23" s="1">
        <v>0.42</v>
      </c>
    </row>
    <row r="24" spans="1:6" x14ac:dyDescent="0.35">
      <c r="A24" t="s">
        <v>25</v>
      </c>
      <c r="B24" t="s">
        <v>206</v>
      </c>
      <c r="C24" t="s">
        <v>207</v>
      </c>
      <c r="D24" s="1">
        <v>0.35</v>
      </c>
      <c r="E24">
        <v>-6</v>
      </c>
      <c r="F24" t="s">
        <v>173</v>
      </c>
    </row>
    <row r="25" spans="1:6" x14ac:dyDescent="0.35">
      <c r="A25" t="s">
        <v>26</v>
      </c>
      <c r="B25" t="s">
        <v>208</v>
      </c>
      <c r="C25" t="s">
        <v>209</v>
      </c>
      <c r="D25" s="1">
        <v>0.23</v>
      </c>
      <c r="E25">
        <v>-14</v>
      </c>
      <c r="F25" t="s">
        <v>210</v>
      </c>
    </row>
    <row r="26" spans="1:6" x14ac:dyDescent="0.35">
      <c r="A26" t="s">
        <v>27</v>
      </c>
      <c r="B26" t="s">
        <v>211</v>
      </c>
      <c r="C26" t="s">
        <v>212</v>
      </c>
      <c r="D26" s="1">
        <v>0.54</v>
      </c>
      <c r="E26">
        <v>-7</v>
      </c>
      <c r="F26" t="s">
        <v>213</v>
      </c>
    </row>
    <row r="27" spans="1:6" x14ac:dyDescent="0.35">
      <c r="A27" t="s">
        <v>28</v>
      </c>
      <c r="B27" t="s">
        <v>214</v>
      </c>
      <c r="C27" t="s">
        <v>215</v>
      </c>
      <c r="D27" s="1">
        <v>0.35</v>
      </c>
      <c r="E27">
        <v>-49</v>
      </c>
      <c r="F27" t="s">
        <v>164</v>
      </c>
    </row>
    <row r="28" spans="1:6" x14ac:dyDescent="0.35">
      <c r="A28" t="s">
        <v>29</v>
      </c>
      <c r="B28" t="s">
        <v>216</v>
      </c>
      <c r="C28" t="s">
        <v>217</v>
      </c>
      <c r="D28" s="1">
        <v>0.18</v>
      </c>
      <c r="E28">
        <v>-12</v>
      </c>
      <c r="F28" t="s">
        <v>181</v>
      </c>
    </row>
    <row r="29" spans="1:6" x14ac:dyDescent="0.35">
      <c r="A29" t="s">
        <v>30</v>
      </c>
      <c r="B29" t="s">
        <v>207</v>
      </c>
      <c r="C29" t="s">
        <v>218</v>
      </c>
      <c r="D29" s="1">
        <v>0.32</v>
      </c>
      <c r="E29">
        <v>-13</v>
      </c>
      <c r="F29" t="s">
        <v>181</v>
      </c>
    </row>
    <row r="30" spans="1:6" x14ac:dyDescent="0.35">
      <c r="A30" t="s">
        <v>31</v>
      </c>
      <c r="B30" t="s">
        <v>219</v>
      </c>
      <c r="C30" t="s">
        <v>166</v>
      </c>
      <c r="D30" s="1">
        <v>0.3</v>
      </c>
      <c r="E30">
        <v>-20</v>
      </c>
      <c r="F30" t="s">
        <v>161</v>
      </c>
    </row>
    <row r="31" spans="1:6" x14ac:dyDescent="0.35">
      <c r="A31" t="s">
        <v>32</v>
      </c>
      <c r="B31" t="s">
        <v>220</v>
      </c>
      <c r="C31" t="s">
        <v>221</v>
      </c>
      <c r="D31" s="1">
        <v>0.46</v>
      </c>
    </row>
    <row r="32" spans="1:6" x14ac:dyDescent="0.35">
      <c r="A32" t="s">
        <v>33</v>
      </c>
      <c r="B32" t="s">
        <v>222</v>
      </c>
      <c r="C32" t="s">
        <v>223</v>
      </c>
      <c r="D32" s="1">
        <v>0.52</v>
      </c>
      <c r="E32">
        <v>-9</v>
      </c>
      <c r="F32" t="s">
        <v>213</v>
      </c>
    </row>
    <row r="33" spans="1:6" x14ac:dyDescent="0.35">
      <c r="A33" t="s">
        <v>34</v>
      </c>
      <c r="B33" t="s">
        <v>224</v>
      </c>
      <c r="C33" t="s">
        <v>225</v>
      </c>
      <c r="D33" s="1">
        <v>0.34</v>
      </c>
      <c r="E33">
        <v>-12</v>
      </c>
      <c r="F33" t="s">
        <v>167</v>
      </c>
    </row>
    <row r="34" spans="1:6" x14ac:dyDescent="0.35">
      <c r="A34" t="s">
        <v>35</v>
      </c>
      <c r="B34" t="s">
        <v>226</v>
      </c>
      <c r="C34" t="s">
        <v>227</v>
      </c>
      <c r="D34" s="1">
        <v>0.48</v>
      </c>
      <c r="E34">
        <v>-9</v>
      </c>
      <c r="F34" t="s">
        <v>213</v>
      </c>
    </row>
    <row r="35" spans="1:6" x14ac:dyDescent="0.35">
      <c r="A35" t="s">
        <v>36</v>
      </c>
      <c r="B35" t="s">
        <v>228</v>
      </c>
      <c r="C35" t="s">
        <v>229</v>
      </c>
      <c r="D35" s="1">
        <v>0.27</v>
      </c>
      <c r="E35">
        <v>-20</v>
      </c>
      <c r="F35" t="s">
        <v>167</v>
      </c>
    </row>
    <row r="36" spans="1:6" x14ac:dyDescent="0.35">
      <c r="A36" t="s">
        <v>37</v>
      </c>
      <c r="B36" t="s">
        <v>230</v>
      </c>
      <c r="C36" t="s">
        <v>231</v>
      </c>
      <c r="D36" s="1">
        <v>0.27</v>
      </c>
      <c r="E36">
        <v>-32</v>
      </c>
      <c r="F36" t="s">
        <v>158</v>
      </c>
    </row>
    <row r="37" spans="1:6" x14ac:dyDescent="0.35">
      <c r="A37" t="s">
        <v>38</v>
      </c>
      <c r="B37" t="s">
        <v>232</v>
      </c>
      <c r="C37" t="s">
        <v>233</v>
      </c>
      <c r="D37" s="1">
        <v>0.4</v>
      </c>
      <c r="E37">
        <v>-1</v>
      </c>
      <c r="F37" t="s">
        <v>193</v>
      </c>
    </row>
    <row r="38" spans="1:6" x14ac:dyDescent="0.35">
      <c r="A38" t="s">
        <v>39</v>
      </c>
      <c r="B38" t="s">
        <v>234</v>
      </c>
      <c r="C38" t="s">
        <v>195</v>
      </c>
      <c r="D38" s="1">
        <v>0.53</v>
      </c>
      <c r="E38">
        <v>-2</v>
      </c>
      <c r="F38" t="s">
        <v>193</v>
      </c>
    </row>
    <row r="39" spans="1:6" x14ac:dyDescent="0.35">
      <c r="A39" t="s">
        <v>40</v>
      </c>
      <c r="B39" t="s">
        <v>235</v>
      </c>
      <c r="C39" t="s">
        <v>236</v>
      </c>
      <c r="D39" s="1">
        <v>0.41</v>
      </c>
      <c r="E39">
        <v>-36</v>
      </c>
      <c r="F39" t="s">
        <v>213</v>
      </c>
    </row>
    <row r="40" spans="1:6" x14ac:dyDescent="0.35">
      <c r="A40" t="s">
        <v>41</v>
      </c>
      <c r="B40" t="s">
        <v>237</v>
      </c>
      <c r="C40" t="s">
        <v>238</v>
      </c>
      <c r="D40" s="1">
        <v>0.38</v>
      </c>
      <c r="E40">
        <v>-2</v>
      </c>
      <c r="F40" t="s">
        <v>158</v>
      </c>
    </row>
    <row r="41" spans="1:6" x14ac:dyDescent="0.35">
      <c r="A41" t="s">
        <v>42</v>
      </c>
      <c r="B41" t="s">
        <v>239</v>
      </c>
      <c r="C41" t="s">
        <v>240</v>
      </c>
      <c r="D41" s="1">
        <v>0.38</v>
      </c>
    </row>
    <row r="42" spans="1:6" x14ac:dyDescent="0.35">
      <c r="A42" t="s">
        <v>43</v>
      </c>
      <c r="B42" t="s">
        <v>241</v>
      </c>
      <c r="C42" t="s">
        <v>242</v>
      </c>
      <c r="D42" s="1">
        <v>0.49</v>
      </c>
    </row>
    <row r="43" spans="1:6" x14ac:dyDescent="0.35">
      <c r="A43" t="s">
        <v>44</v>
      </c>
      <c r="B43" t="s">
        <v>243</v>
      </c>
      <c r="C43" t="s">
        <v>244</v>
      </c>
      <c r="D43" s="1">
        <v>0.5</v>
      </c>
    </row>
    <row r="44" spans="1:6" x14ac:dyDescent="0.35">
      <c r="A44" t="s">
        <v>45</v>
      </c>
      <c r="B44" t="s">
        <v>245</v>
      </c>
      <c r="C44" t="s">
        <v>246</v>
      </c>
      <c r="D44" s="1">
        <v>0.42</v>
      </c>
    </row>
    <row r="45" spans="1:6" x14ac:dyDescent="0.35">
      <c r="A45" t="s">
        <v>45</v>
      </c>
      <c r="B45" t="s">
        <v>245</v>
      </c>
      <c r="C45" t="s">
        <v>246</v>
      </c>
      <c r="D45" s="1">
        <v>0.42</v>
      </c>
    </row>
    <row r="46" spans="1:6" x14ac:dyDescent="0.35">
      <c r="A46" t="s">
        <v>46</v>
      </c>
      <c r="B46" t="s">
        <v>247</v>
      </c>
      <c r="C46" t="s">
        <v>248</v>
      </c>
      <c r="D46" s="1">
        <v>0.02</v>
      </c>
    </row>
    <row r="47" spans="1:6" x14ac:dyDescent="0.35">
      <c r="A47" t="s">
        <v>47</v>
      </c>
      <c r="B47" t="s">
        <v>160</v>
      </c>
      <c r="C47" t="s">
        <v>249</v>
      </c>
      <c r="D47" s="1">
        <v>0.5</v>
      </c>
    </row>
    <row r="48" spans="1:6" x14ac:dyDescent="0.35">
      <c r="A48" t="s">
        <v>48</v>
      </c>
      <c r="B48" t="s">
        <v>250</v>
      </c>
      <c r="C48" t="s">
        <v>251</v>
      </c>
      <c r="D48" s="1">
        <v>0.33</v>
      </c>
    </row>
    <row r="49" spans="1:6" x14ac:dyDescent="0.35">
      <c r="A49" t="s">
        <v>49</v>
      </c>
      <c r="B49" t="s">
        <v>252</v>
      </c>
      <c r="C49" t="s">
        <v>253</v>
      </c>
      <c r="D49" s="1">
        <v>0.49</v>
      </c>
    </row>
    <row r="50" spans="1:6" x14ac:dyDescent="0.35">
      <c r="A50" t="s">
        <v>50</v>
      </c>
      <c r="B50" t="s">
        <v>254</v>
      </c>
      <c r="C50" t="s">
        <v>255</v>
      </c>
      <c r="D50" s="1">
        <v>0.38</v>
      </c>
    </row>
    <row r="51" spans="1:6" x14ac:dyDescent="0.35">
      <c r="A51" t="s">
        <v>51</v>
      </c>
      <c r="B51" t="s">
        <v>256</v>
      </c>
      <c r="C51" t="s">
        <v>257</v>
      </c>
      <c r="D51" s="1">
        <v>0.61</v>
      </c>
    </row>
    <row r="52" spans="1:6" x14ac:dyDescent="0.35">
      <c r="A52" t="s">
        <v>52</v>
      </c>
      <c r="B52" t="s">
        <v>258</v>
      </c>
      <c r="C52" t="s">
        <v>259</v>
      </c>
      <c r="D52" s="1">
        <v>0.5</v>
      </c>
    </row>
    <row r="53" spans="1:6" x14ac:dyDescent="0.35">
      <c r="A53" t="s">
        <v>53</v>
      </c>
      <c r="B53" t="s">
        <v>260</v>
      </c>
      <c r="C53" t="s">
        <v>261</v>
      </c>
      <c r="D53" s="1">
        <v>0.02</v>
      </c>
    </row>
    <row r="54" spans="1:6" x14ac:dyDescent="0.35">
      <c r="A54" t="s">
        <v>54</v>
      </c>
      <c r="B54" t="s">
        <v>258</v>
      </c>
      <c r="C54" t="s">
        <v>262</v>
      </c>
      <c r="D54" s="1">
        <v>0.22</v>
      </c>
    </row>
    <row r="55" spans="1:6" x14ac:dyDescent="0.35">
      <c r="A55" t="s">
        <v>55</v>
      </c>
      <c r="B55" t="s">
        <v>263</v>
      </c>
      <c r="C55" t="s">
        <v>264</v>
      </c>
      <c r="D55" s="1">
        <v>0.03</v>
      </c>
    </row>
    <row r="56" spans="1:6" x14ac:dyDescent="0.35">
      <c r="A56" t="s">
        <v>56</v>
      </c>
      <c r="B56" t="s">
        <v>182</v>
      </c>
      <c r="C56" t="s">
        <v>265</v>
      </c>
      <c r="D56" s="1">
        <v>0.41</v>
      </c>
    </row>
    <row r="57" spans="1:6" x14ac:dyDescent="0.35">
      <c r="A57" t="s">
        <v>57</v>
      </c>
      <c r="B57" t="s">
        <v>266</v>
      </c>
      <c r="C57" t="s">
        <v>267</v>
      </c>
      <c r="D57" s="1">
        <v>0.45</v>
      </c>
    </row>
    <row r="58" spans="1:6" x14ac:dyDescent="0.35">
      <c r="A58" t="s">
        <v>58</v>
      </c>
      <c r="B58" t="s">
        <v>268</v>
      </c>
      <c r="C58" t="s">
        <v>265</v>
      </c>
      <c r="D58" s="1">
        <v>0.48</v>
      </c>
    </row>
    <row r="59" spans="1:6" x14ac:dyDescent="0.35">
      <c r="A59" t="s">
        <v>59</v>
      </c>
      <c r="B59" t="s">
        <v>182</v>
      </c>
      <c r="C59" t="s">
        <v>269</v>
      </c>
      <c r="D59" s="1">
        <v>0.49</v>
      </c>
    </row>
    <row r="60" spans="1:6" x14ac:dyDescent="0.35">
      <c r="A60" t="s">
        <v>60</v>
      </c>
      <c r="B60" t="s">
        <v>270</v>
      </c>
      <c r="C60" t="s">
        <v>271</v>
      </c>
      <c r="D60" s="1">
        <v>0.27</v>
      </c>
    </row>
    <row r="61" spans="1:6" x14ac:dyDescent="0.35">
      <c r="A61" t="s">
        <v>57</v>
      </c>
      <c r="B61" t="s">
        <v>272</v>
      </c>
      <c r="C61" t="s">
        <v>273</v>
      </c>
      <c r="D61" s="1">
        <v>0.55000000000000004</v>
      </c>
    </row>
    <row r="62" spans="1:6" x14ac:dyDescent="0.35">
      <c r="A62" t="s">
        <v>61</v>
      </c>
      <c r="B62" t="s">
        <v>274</v>
      </c>
      <c r="C62" t="s">
        <v>275</v>
      </c>
      <c r="D62" s="1">
        <v>0.13</v>
      </c>
      <c r="E62">
        <v>-6</v>
      </c>
      <c r="F62" t="s">
        <v>276</v>
      </c>
    </row>
    <row r="63" spans="1:6" x14ac:dyDescent="0.35">
      <c r="A63" t="s">
        <v>62</v>
      </c>
      <c r="B63" t="s">
        <v>277</v>
      </c>
      <c r="C63" t="s">
        <v>278</v>
      </c>
      <c r="D63" s="1">
        <v>0.54</v>
      </c>
      <c r="E63">
        <v>-10</v>
      </c>
      <c r="F63" t="s">
        <v>279</v>
      </c>
    </row>
    <row r="64" spans="1:6" x14ac:dyDescent="0.35">
      <c r="A64" t="s">
        <v>63</v>
      </c>
      <c r="B64" t="s">
        <v>280</v>
      </c>
      <c r="C64" t="s">
        <v>281</v>
      </c>
      <c r="D64" s="1">
        <v>0.55000000000000004</v>
      </c>
      <c r="E64">
        <v>-13</v>
      </c>
      <c r="F64" t="s">
        <v>282</v>
      </c>
    </row>
    <row r="65" spans="1:6" x14ac:dyDescent="0.35">
      <c r="A65" t="s">
        <v>64</v>
      </c>
      <c r="B65" t="s">
        <v>283</v>
      </c>
      <c r="C65" t="s">
        <v>284</v>
      </c>
      <c r="D65" s="1">
        <v>0.49</v>
      </c>
      <c r="E65">
        <v>-69</v>
      </c>
      <c r="F65" t="s">
        <v>285</v>
      </c>
    </row>
    <row r="66" spans="1:6" x14ac:dyDescent="0.35">
      <c r="A66" t="s">
        <v>65</v>
      </c>
      <c r="B66" t="s">
        <v>286</v>
      </c>
      <c r="C66" t="s">
        <v>287</v>
      </c>
      <c r="D66" s="1">
        <v>0.52</v>
      </c>
      <c r="E66">
        <v>-15</v>
      </c>
      <c r="F66" t="s">
        <v>288</v>
      </c>
    </row>
    <row r="67" spans="1:6" x14ac:dyDescent="0.35">
      <c r="A67" t="s">
        <v>66</v>
      </c>
      <c r="B67" t="s">
        <v>289</v>
      </c>
      <c r="C67" t="s">
        <v>290</v>
      </c>
      <c r="D67" s="1">
        <v>0.22</v>
      </c>
      <c r="E67">
        <v>-16</v>
      </c>
      <c r="F67" t="s">
        <v>291</v>
      </c>
    </row>
    <row r="68" spans="1:6" x14ac:dyDescent="0.35">
      <c r="A68" t="s">
        <v>67</v>
      </c>
      <c r="B68" t="s">
        <v>183</v>
      </c>
      <c r="C68" t="s">
        <v>292</v>
      </c>
      <c r="D68" s="1">
        <v>0.45</v>
      </c>
      <c r="E68">
        <v>-6</v>
      </c>
      <c r="F68" t="s">
        <v>293</v>
      </c>
    </row>
    <row r="69" spans="1:6" x14ac:dyDescent="0.35">
      <c r="A69" t="s">
        <v>68</v>
      </c>
      <c r="B69" t="s">
        <v>294</v>
      </c>
      <c r="C69" t="s">
        <v>249</v>
      </c>
      <c r="D69" s="1">
        <v>0.5</v>
      </c>
      <c r="E69">
        <v>-7</v>
      </c>
      <c r="F69" t="s">
        <v>295</v>
      </c>
    </row>
    <row r="70" spans="1:6" x14ac:dyDescent="0.35">
      <c r="A70" t="s">
        <v>69</v>
      </c>
      <c r="B70" t="s">
        <v>296</v>
      </c>
      <c r="C70" t="s">
        <v>297</v>
      </c>
      <c r="D70" s="1">
        <v>0.39</v>
      </c>
      <c r="E70">
        <v>-5</v>
      </c>
      <c r="F70" t="s">
        <v>279</v>
      </c>
    </row>
    <row r="71" spans="1:6" x14ac:dyDescent="0.35">
      <c r="A71" t="s">
        <v>70</v>
      </c>
      <c r="B71" t="s">
        <v>223</v>
      </c>
      <c r="C71" t="s">
        <v>298</v>
      </c>
      <c r="D71" s="1">
        <v>0.45</v>
      </c>
      <c r="E71">
        <v>-17</v>
      </c>
      <c r="F71" t="s">
        <v>299</v>
      </c>
    </row>
    <row r="72" spans="1:6" x14ac:dyDescent="0.35">
      <c r="A72" t="s">
        <v>71</v>
      </c>
      <c r="B72" t="s">
        <v>300</v>
      </c>
      <c r="C72" t="s">
        <v>301</v>
      </c>
      <c r="D72" s="1">
        <v>0.28999999999999998</v>
      </c>
      <c r="E72">
        <v>-5</v>
      </c>
      <c r="F72" t="s">
        <v>279</v>
      </c>
    </row>
    <row r="73" spans="1:6" x14ac:dyDescent="0.35">
      <c r="A73" t="s">
        <v>72</v>
      </c>
      <c r="B73" t="s">
        <v>302</v>
      </c>
      <c r="C73" t="s">
        <v>303</v>
      </c>
      <c r="D73" s="1">
        <v>0.43</v>
      </c>
      <c r="E73">
        <v>-6</v>
      </c>
      <c r="F73" t="s">
        <v>295</v>
      </c>
    </row>
    <row r="74" spans="1:6" x14ac:dyDescent="0.35">
      <c r="A74" t="s">
        <v>73</v>
      </c>
      <c r="B74" t="s">
        <v>304</v>
      </c>
      <c r="C74" t="s">
        <v>305</v>
      </c>
      <c r="D74" s="1">
        <v>0.43</v>
      </c>
      <c r="E74">
        <v>-5</v>
      </c>
      <c r="F74" t="s">
        <v>279</v>
      </c>
    </row>
    <row r="75" spans="1:6" x14ac:dyDescent="0.35">
      <c r="A75" t="s">
        <v>74</v>
      </c>
      <c r="B75" t="s">
        <v>306</v>
      </c>
      <c r="C75" t="s">
        <v>292</v>
      </c>
      <c r="D75" s="1">
        <v>0.47</v>
      </c>
      <c r="E75">
        <v>-6</v>
      </c>
      <c r="F75" t="s">
        <v>293</v>
      </c>
    </row>
    <row r="76" spans="1:6" x14ac:dyDescent="0.35">
      <c r="A76" t="s">
        <v>75</v>
      </c>
      <c r="B76" t="s">
        <v>307</v>
      </c>
      <c r="C76" t="s">
        <v>308</v>
      </c>
      <c r="D76" s="1">
        <v>0.47</v>
      </c>
      <c r="E76">
        <v>-7</v>
      </c>
      <c r="F76" t="s">
        <v>282</v>
      </c>
    </row>
    <row r="77" spans="1:6" x14ac:dyDescent="0.35">
      <c r="A77" t="s">
        <v>76</v>
      </c>
      <c r="B77" t="s">
        <v>309</v>
      </c>
      <c r="C77" t="s">
        <v>310</v>
      </c>
      <c r="D77" s="1">
        <v>0.47</v>
      </c>
    </row>
    <row r="78" spans="1:6" x14ac:dyDescent="0.35">
      <c r="A78" t="s">
        <v>77</v>
      </c>
      <c r="B78" t="s">
        <v>311</v>
      </c>
      <c r="C78" t="s">
        <v>254</v>
      </c>
      <c r="D78" s="1">
        <v>0.43</v>
      </c>
    </row>
    <row r="79" spans="1:6" x14ac:dyDescent="0.35">
      <c r="A79" t="s">
        <v>78</v>
      </c>
      <c r="B79" t="s">
        <v>312</v>
      </c>
      <c r="C79" t="s">
        <v>313</v>
      </c>
      <c r="D79" s="1">
        <v>0.04</v>
      </c>
    </row>
    <row r="80" spans="1:6" x14ac:dyDescent="0.35">
      <c r="A80" t="s">
        <v>79</v>
      </c>
      <c r="B80" t="s">
        <v>314</v>
      </c>
      <c r="C80" t="s">
        <v>315</v>
      </c>
      <c r="D80" s="1">
        <v>0.49</v>
      </c>
    </row>
    <row r="81" spans="1:6" x14ac:dyDescent="0.35">
      <c r="A81" t="s">
        <v>80</v>
      </c>
      <c r="B81" t="s">
        <v>316</v>
      </c>
      <c r="C81" t="s">
        <v>162</v>
      </c>
      <c r="D81" s="1">
        <v>0.46</v>
      </c>
      <c r="E81">
        <v>-1</v>
      </c>
      <c r="F81" t="s">
        <v>279</v>
      </c>
    </row>
    <row r="82" spans="1:6" x14ac:dyDescent="0.35">
      <c r="A82" t="s">
        <v>81</v>
      </c>
      <c r="B82" t="s">
        <v>317</v>
      </c>
      <c r="C82" t="s">
        <v>318</v>
      </c>
      <c r="D82" s="1">
        <v>0.49</v>
      </c>
      <c r="E82">
        <v>-1</v>
      </c>
      <c r="F82" t="s">
        <v>193</v>
      </c>
    </row>
    <row r="83" spans="1:6" x14ac:dyDescent="0.35">
      <c r="A83" t="s">
        <v>82</v>
      </c>
      <c r="B83" t="s">
        <v>319</v>
      </c>
      <c r="C83" t="s">
        <v>320</v>
      </c>
      <c r="D83" s="1">
        <v>0.36</v>
      </c>
    </row>
    <row r="84" spans="1:6" x14ac:dyDescent="0.35">
      <c r="A84" t="s">
        <v>83</v>
      </c>
      <c r="B84" t="s">
        <v>321</v>
      </c>
      <c r="C84" t="s">
        <v>261</v>
      </c>
      <c r="D84" s="1">
        <v>0.02</v>
      </c>
    </row>
    <row r="85" spans="1:6" x14ac:dyDescent="0.35">
      <c r="A85" t="s">
        <v>84</v>
      </c>
      <c r="B85" t="s">
        <v>322</v>
      </c>
      <c r="C85" t="s">
        <v>215</v>
      </c>
      <c r="D85" s="1">
        <v>0.49</v>
      </c>
      <c r="E85">
        <v>-1</v>
      </c>
      <c r="F85" t="s">
        <v>173</v>
      </c>
    </row>
    <row r="86" spans="1:6" x14ac:dyDescent="0.35">
      <c r="A86" t="s">
        <v>45</v>
      </c>
      <c r="B86" t="s">
        <v>245</v>
      </c>
      <c r="C86" t="s">
        <v>246</v>
      </c>
      <c r="D86" s="1">
        <v>0.42</v>
      </c>
    </row>
    <row r="87" spans="1:6" x14ac:dyDescent="0.35">
      <c r="A87" t="s">
        <v>51</v>
      </c>
      <c r="B87" t="s">
        <v>323</v>
      </c>
      <c r="C87" t="s">
        <v>302</v>
      </c>
      <c r="D87" s="1">
        <v>0.49</v>
      </c>
    </row>
    <row r="88" spans="1:6" x14ac:dyDescent="0.35">
      <c r="A88" t="s">
        <v>85</v>
      </c>
      <c r="B88" t="s">
        <v>324</v>
      </c>
      <c r="C88" t="s">
        <v>261</v>
      </c>
      <c r="D88" s="1">
        <v>0.14000000000000001</v>
      </c>
    </row>
    <row r="89" spans="1:6" x14ac:dyDescent="0.35">
      <c r="A89" t="s">
        <v>86</v>
      </c>
      <c r="B89" t="s">
        <v>325</v>
      </c>
      <c r="C89" t="s">
        <v>326</v>
      </c>
      <c r="D89" s="1">
        <v>0.49</v>
      </c>
    </row>
    <row r="90" spans="1:6" x14ac:dyDescent="0.35">
      <c r="A90" t="s">
        <v>87</v>
      </c>
      <c r="B90" t="s">
        <v>182</v>
      </c>
      <c r="C90" t="s">
        <v>267</v>
      </c>
      <c r="D90" s="1">
        <v>0.11</v>
      </c>
    </row>
    <row r="91" spans="1:6" x14ac:dyDescent="0.35">
      <c r="A91" t="s">
        <v>59</v>
      </c>
      <c r="B91" t="s">
        <v>327</v>
      </c>
      <c r="C91" t="s">
        <v>328</v>
      </c>
      <c r="D91" s="1">
        <v>0.49</v>
      </c>
    </row>
    <row r="92" spans="1:6" x14ac:dyDescent="0.35">
      <c r="A92" t="s">
        <v>88</v>
      </c>
      <c r="B92" t="s">
        <v>329</v>
      </c>
      <c r="C92" t="s">
        <v>261</v>
      </c>
      <c r="D92" s="1">
        <v>0.14000000000000001</v>
      </c>
    </row>
    <row r="93" spans="1:6" x14ac:dyDescent="0.35">
      <c r="A93" t="s">
        <v>89</v>
      </c>
      <c r="B93" t="s">
        <v>330</v>
      </c>
      <c r="C93" t="s">
        <v>331</v>
      </c>
      <c r="D93" s="1">
        <v>0.43</v>
      </c>
    </row>
    <row r="94" spans="1:6" x14ac:dyDescent="0.35">
      <c r="A94" t="s">
        <v>90</v>
      </c>
      <c r="B94" t="s">
        <v>332</v>
      </c>
      <c r="C94" t="s">
        <v>333</v>
      </c>
      <c r="D94" s="1">
        <v>0.5</v>
      </c>
    </row>
    <row r="95" spans="1:6" x14ac:dyDescent="0.35">
      <c r="A95" t="s">
        <v>91</v>
      </c>
      <c r="B95" t="s">
        <v>334</v>
      </c>
      <c r="C95" t="s">
        <v>275</v>
      </c>
      <c r="D95" s="1">
        <v>0.48</v>
      </c>
    </row>
    <row r="96" spans="1:6" x14ac:dyDescent="0.35">
      <c r="A96" t="s">
        <v>92</v>
      </c>
      <c r="B96" t="s">
        <v>335</v>
      </c>
      <c r="C96" t="s">
        <v>336</v>
      </c>
      <c r="D96" s="1">
        <v>0.48</v>
      </c>
    </row>
    <row r="97" spans="1:6" x14ac:dyDescent="0.35">
      <c r="A97" t="s">
        <v>93</v>
      </c>
      <c r="B97" t="s">
        <v>305</v>
      </c>
      <c r="C97" t="s">
        <v>261</v>
      </c>
      <c r="D97" s="1">
        <v>0.47</v>
      </c>
    </row>
    <row r="98" spans="1:6" x14ac:dyDescent="0.35">
      <c r="A98" t="s">
        <v>93</v>
      </c>
      <c r="B98" t="s">
        <v>305</v>
      </c>
      <c r="C98" t="s">
        <v>261</v>
      </c>
      <c r="D98" s="1">
        <v>0.47</v>
      </c>
    </row>
    <row r="99" spans="1:6" x14ac:dyDescent="0.35">
      <c r="A99" t="s">
        <v>94</v>
      </c>
      <c r="B99" t="s">
        <v>254</v>
      </c>
      <c r="C99" t="s">
        <v>337</v>
      </c>
      <c r="D99" s="1">
        <v>0.5</v>
      </c>
    </row>
    <row r="100" spans="1:6" x14ac:dyDescent="0.35">
      <c r="A100" t="s">
        <v>95</v>
      </c>
      <c r="B100" t="s">
        <v>338</v>
      </c>
      <c r="C100" t="s">
        <v>260</v>
      </c>
      <c r="D100" s="1">
        <v>0.08</v>
      </c>
    </row>
    <row r="101" spans="1:6" x14ac:dyDescent="0.35">
      <c r="A101" t="s">
        <v>96</v>
      </c>
      <c r="B101" t="s">
        <v>339</v>
      </c>
      <c r="C101" t="s">
        <v>264</v>
      </c>
      <c r="D101" s="1">
        <v>0.02</v>
      </c>
    </row>
    <row r="102" spans="1:6" x14ac:dyDescent="0.35">
      <c r="A102" t="s">
        <v>97</v>
      </c>
      <c r="B102" t="s">
        <v>340</v>
      </c>
      <c r="C102" t="s">
        <v>341</v>
      </c>
      <c r="D102" s="1">
        <v>0.49</v>
      </c>
    </row>
    <row r="103" spans="1:6" x14ac:dyDescent="0.35">
      <c r="A103" t="s">
        <v>98</v>
      </c>
      <c r="B103" t="s">
        <v>342</v>
      </c>
      <c r="C103" t="s">
        <v>198</v>
      </c>
      <c r="D103" s="1">
        <v>0.04</v>
      </c>
    </row>
    <row r="104" spans="1:6" x14ac:dyDescent="0.35">
      <c r="A104" t="s">
        <v>99</v>
      </c>
      <c r="B104" t="s">
        <v>343</v>
      </c>
      <c r="C104" t="s">
        <v>344</v>
      </c>
      <c r="D104" s="1">
        <v>0.49</v>
      </c>
    </row>
    <row r="105" spans="1:6" x14ac:dyDescent="0.35">
      <c r="A105" t="s">
        <v>100</v>
      </c>
      <c r="B105" t="s">
        <v>345</v>
      </c>
      <c r="C105" t="s">
        <v>346</v>
      </c>
      <c r="D105" s="1">
        <v>0.42</v>
      </c>
    </row>
    <row r="106" spans="1:6" x14ac:dyDescent="0.35">
      <c r="A106" t="s">
        <v>101</v>
      </c>
      <c r="B106" t="s">
        <v>347</v>
      </c>
      <c r="C106" t="s">
        <v>348</v>
      </c>
      <c r="D106" s="1">
        <v>0.21</v>
      </c>
      <c r="E106">
        <v>-1</v>
      </c>
      <c r="F106" t="s">
        <v>193</v>
      </c>
    </row>
    <row r="107" spans="1:6" x14ac:dyDescent="0.35">
      <c r="A107" t="s">
        <v>102</v>
      </c>
      <c r="B107" t="s">
        <v>349</v>
      </c>
      <c r="C107" t="s">
        <v>350</v>
      </c>
      <c r="D107" s="1">
        <v>0.41</v>
      </c>
    </row>
    <row r="108" spans="1:6" x14ac:dyDescent="0.35">
      <c r="A108" t="s">
        <v>103</v>
      </c>
      <c r="B108" t="s">
        <v>351</v>
      </c>
      <c r="C108" t="s">
        <v>352</v>
      </c>
      <c r="D108" s="1">
        <v>0.01</v>
      </c>
    </row>
    <row r="109" spans="1:6" x14ac:dyDescent="0.35">
      <c r="A109" t="s">
        <v>104</v>
      </c>
      <c r="B109" t="s">
        <v>353</v>
      </c>
      <c r="C109" t="s">
        <v>354</v>
      </c>
      <c r="D109" s="1">
        <v>0.24</v>
      </c>
    </row>
    <row r="110" spans="1:6" x14ac:dyDescent="0.35">
      <c r="A110" t="s">
        <v>105</v>
      </c>
      <c r="B110" t="s">
        <v>355</v>
      </c>
      <c r="C110" t="s">
        <v>356</v>
      </c>
      <c r="D110" s="1">
        <v>0.34</v>
      </c>
    </row>
    <row r="111" spans="1:6" x14ac:dyDescent="0.35">
      <c r="A111" t="s">
        <v>106</v>
      </c>
      <c r="B111" t="s">
        <v>250</v>
      </c>
      <c r="C111" t="s">
        <v>357</v>
      </c>
      <c r="D111" s="1">
        <v>0.34</v>
      </c>
    </row>
    <row r="112" spans="1:6" x14ac:dyDescent="0.35">
      <c r="A112" t="s">
        <v>107</v>
      </c>
      <c r="B112" t="s">
        <v>358</v>
      </c>
      <c r="C112" t="s">
        <v>261</v>
      </c>
      <c r="D112" s="1">
        <v>0.02</v>
      </c>
    </row>
    <row r="113" spans="1:6" x14ac:dyDescent="0.35">
      <c r="A113" t="s">
        <v>108</v>
      </c>
      <c r="B113" t="s">
        <v>359</v>
      </c>
      <c r="C113" t="s">
        <v>313</v>
      </c>
      <c r="D113" s="1">
        <v>0.02</v>
      </c>
    </row>
    <row r="114" spans="1:6" x14ac:dyDescent="0.35">
      <c r="A114" t="s">
        <v>109</v>
      </c>
      <c r="B114" t="s">
        <v>256</v>
      </c>
      <c r="C114" t="s">
        <v>360</v>
      </c>
      <c r="D114" s="1">
        <v>0.64</v>
      </c>
    </row>
    <row r="115" spans="1:6" x14ac:dyDescent="0.35">
      <c r="A115" t="s">
        <v>110</v>
      </c>
      <c r="B115" t="s">
        <v>315</v>
      </c>
      <c r="C115" t="s">
        <v>267</v>
      </c>
      <c r="D115" s="1">
        <v>0.5</v>
      </c>
      <c r="E115">
        <v>-1</v>
      </c>
      <c r="F115" t="s">
        <v>361</v>
      </c>
    </row>
    <row r="116" spans="1:6" x14ac:dyDescent="0.35">
      <c r="A116" t="s">
        <v>111</v>
      </c>
      <c r="B116" t="s">
        <v>362</v>
      </c>
      <c r="C116" t="s">
        <v>363</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24EB1-97AB-4AA3-BA91-B06F34C2182D}">
  <dimension ref="A1:L113"/>
  <sheetViews>
    <sheetView topLeftCell="B1" zoomScale="112" zoomScaleNormal="112" workbookViewId="0">
      <pane ySplit="1" topLeftCell="A2" activePane="bottomLeft" state="frozen"/>
      <selection activeCell="D1" sqref="D1"/>
      <selection pane="bottomLeft" activeCell="O22" sqref="O22"/>
    </sheetView>
  </sheetViews>
  <sheetFormatPr defaultRowHeight="14.5" x14ac:dyDescent="0.35"/>
  <cols>
    <col min="1" max="1" width="91.36328125" bestFit="1" customWidth="1"/>
    <col min="2" max="3" width="18.54296875" style="5" customWidth="1"/>
    <col min="4" max="4" width="10.7265625" style="9" bestFit="1" customWidth="1"/>
    <col min="5" max="5" width="21.36328125" style="9" bestFit="1" customWidth="1"/>
    <col min="6" max="6" width="20.26953125" style="11" customWidth="1"/>
    <col min="7" max="7" width="9.26953125" customWidth="1"/>
    <col min="8" max="8" width="10.26953125" style="7" customWidth="1"/>
    <col min="9" max="10" width="18.6328125" customWidth="1"/>
    <col min="11" max="11" width="19.6328125" customWidth="1"/>
  </cols>
  <sheetData>
    <row r="1" spans="1:12" s="3" customFormat="1" ht="18.5" x14ac:dyDescent="0.45">
      <c r="A1" s="3" t="s">
        <v>0</v>
      </c>
      <c r="B1" s="4" t="s">
        <v>114</v>
      </c>
      <c r="C1" s="4" t="s">
        <v>115</v>
      </c>
      <c r="D1" s="8" t="s">
        <v>1</v>
      </c>
      <c r="E1" s="8" t="s">
        <v>118</v>
      </c>
      <c r="F1" s="10" t="s">
        <v>116</v>
      </c>
      <c r="G1" s="3" t="s">
        <v>2</v>
      </c>
      <c r="H1" s="6" t="s">
        <v>112</v>
      </c>
      <c r="I1" s="3" t="s">
        <v>117</v>
      </c>
      <c r="K1" s="3" t="s">
        <v>364</v>
      </c>
    </row>
    <row r="2" spans="1:12" x14ac:dyDescent="0.35">
      <c r="A2" t="s">
        <v>3</v>
      </c>
      <c r="B2" s="5">
        <v>950</v>
      </c>
      <c r="C2" s="5">
        <v>1525</v>
      </c>
      <c r="D2" s="9">
        <v>0.38</v>
      </c>
      <c r="E2" s="9" t="str">
        <f>IF(D2&lt;20%, "Low Discount", IF(D2&lt;40%, "Medium Discount","High Discount"))</f>
        <v>Medium Discount</v>
      </c>
      <c r="F2" s="11">
        <f>C2-B2</f>
        <v>575</v>
      </c>
      <c r="G2">
        <v>2</v>
      </c>
      <c r="H2" s="7">
        <v>4.5</v>
      </c>
      <c r="I2" t="s">
        <v>128</v>
      </c>
      <c r="K2" t="s">
        <v>120</v>
      </c>
      <c r="L2" s="5">
        <f xml:space="preserve"> AVERAGE(B2:B113)</f>
        <v>1186.8928571428571</v>
      </c>
    </row>
    <row r="3" spans="1:12" x14ac:dyDescent="0.35">
      <c r="A3" t="s">
        <v>4</v>
      </c>
      <c r="B3" s="5">
        <v>527</v>
      </c>
      <c r="C3" s="5">
        <v>999</v>
      </c>
      <c r="D3" s="9">
        <v>0.47</v>
      </c>
      <c r="E3" s="9" t="str">
        <f t="shared" ref="E3:E66" si="0">IF(D3&lt;20%, "Low Discount", IF(D3&lt;40%, "Medium Discount","High Discount"))</f>
        <v>High Discount</v>
      </c>
      <c r="F3" s="11">
        <f t="shared" ref="F3:F66" si="1">C3-B3</f>
        <v>472</v>
      </c>
      <c r="G3">
        <v>14</v>
      </c>
      <c r="H3" s="7">
        <v>4.0999999999999996</v>
      </c>
      <c r="I3" t="s">
        <v>119</v>
      </c>
      <c r="K3" t="s">
        <v>115</v>
      </c>
      <c r="L3" s="5">
        <f>AVERAGE(C2:C113)</f>
        <v>1811.1071428571429</v>
      </c>
    </row>
    <row r="4" spans="1:12" x14ac:dyDescent="0.35">
      <c r="A4" t="s">
        <v>5</v>
      </c>
      <c r="B4" s="5">
        <v>2199</v>
      </c>
      <c r="C4" s="5">
        <v>2923</v>
      </c>
      <c r="D4" s="9">
        <v>0.25</v>
      </c>
      <c r="E4" s="9" t="str">
        <f t="shared" si="0"/>
        <v>Medium Discount</v>
      </c>
      <c r="F4" s="11">
        <f t="shared" si="1"/>
        <v>724</v>
      </c>
      <c r="G4">
        <v>24</v>
      </c>
      <c r="H4" s="7">
        <v>4.5999999999999996</v>
      </c>
      <c r="I4" t="s">
        <v>128</v>
      </c>
      <c r="K4" t="s">
        <v>121</v>
      </c>
      <c r="L4" s="1">
        <f>AVERAGE(D2:D113)</f>
        <v>0.36776785714285715</v>
      </c>
    </row>
    <row r="5" spans="1:12" x14ac:dyDescent="0.35">
      <c r="A5" t="s">
        <v>6</v>
      </c>
      <c r="B5" s="5">
        <v>1580</v>
      </c>
      <c r="C5" s="5">
        <v>2499</v>
      </c>
      <c r="D5" s="9">
        <v>0.37</v>
      </c>
      <c r="E5" s="9" t="str">
        <f t="shared" si="0"/>
        <v>Medium Discount</v>
      </c>
      <c r="F5" s="11">
        <f t="shared" si="1"/>
        <v>919</v>
      </c>
      <c r="G5">
        <v>7</v>
      </c>
      <c r="H5" s="7">
        <v>4.7</v>
      </c>
      <c r="I5" t="s">
        <v>128</v>
      </c>
      <c r="K5" t="s">
        <v>112</v>
      </c>
      <c r="L5" s="7">
        <f>AVERAGE(H2:H113)</f>
        <v>3.8894736842105258</v>
      </c>
    </row>
    <row r="6" spans="1:12" x14ac:dyDescent="0.35">
      <c r="A6" t="s">
        <v>7</v>
      </c>
      <c r="B6" s="5">
        <v>1740</v>
      </c>
      <c r="C6" s="5">
        <v>2356</v>
      </c>
      <c r="D6" s="9">
        <v>0.26</v>
      </c>
      <c r="E6" s="9" t="str">
        <f t="shared" si="0"/>
        <v>Medium Discount</v>
      </c>
      <c r="F6" s="11">
        <f t="shared" si="1"/>
        <v>616</v>
      </c>
      <c r="G6">
        <v>5</v>
      </c>
      <c r="H6" s="7">
        <v>4.8</v>
      </c>
      <c r="I6" t="s">
        <v>128</v>
      </c>
    </row>
    <row r="7" spans="1:12" x14ac:dyDescent="0.35">
      <c r="A7" t="s">
        <v>8</v>
      </c>
      <c r="B7" s="5">
        <v>2999</v>
      </c>
      <c r="C7" s="5">
        <v>3290</v>
      </c>
      <c r="D7" s="9">
        <v>0.09</v>
      </c>
      <c r="E7" s="9" t="str">
        <f t="shared" si="0"/>
        <v>Low Discount</v>
      </c>
      <c r="F7" s="11">
        <f t="shared" si="1"/>
        <v>291</v>
      </c>
      <c r="G7">
        <v>15</v>
      </c>
      <c r="H7" s="7">
        <v>4</v>
      </c>
      <c r="I7" t="s">
        <v>119</v>
      </c>
    </row>
    <row r="8" spans="1:12" x14ac:dyDescent="0.35">
      <c r="A8" t="s">
        <v>9</v>
      </c>
      <c r="B8" s="5">
        <v>2319</v>
      </c>
      <c r="C8" s="5">
        <v>3032</v>
      </c>
      <c r="D8" s="9">
        <v>0.24</v>
      </c>
      <c r="E8" s="9" t="str">
        <f t="shared" si="0"/>
        <v>Medium Discount</v>
      </c>
      <c r="F8" s="11">
        <f t="shared" si="1"/>
        <v>713</v>
      </c>
      <c r="G8">
        <v>55</v>
      </c>
      <c r="H8" s="7">
        <v>4.5999999999999996</v>
      </c>
      <c r="I8" t="s">
        <v>128</v>
      </c>
      <c r="K8" s="2" t="s">
        <v>122</v>
      </c>
      <c r="L8" t="str">
        <f>_xlfn.XLOOKUP(MAX(B2:B113),B2:B113,A2:A113, "Not Found")</f>
        <v>32PCS Portable Cordless Drill Set With Cyclic Battery Drive -26 Variable Speed</v>
      </c>
    </row>
    <row r="9" spans="1:12" x14ac:dyDescent="0.35">
      <c r="A9" t="s">
        <v>10</v>
      </c>
      <c r="B9" s="5">
        <v>988</v>
      </c>
      <c r="C9" s="5">
        <v>1580</v>
      </c>
      <c r="D9" s="9">
        <v>0.37</v>
      </c>
      <c r="E9" s="9" t="str">
        <f t="shared" si="0"/>
        <v>Medium Discount</v>
      </c>
      <c r="F9" s="11">
        <f t="shared" si="1"/>
        <v>592</v>
      </c>
      <c r="G9">
        <v>2</v>
      </c>
      <c r="H9" s="7">
        <v>4</v>
      </c>
      <c r="I9" t="s">
        <v>119</v>
      </c>
      <c r="K9" s="2" t="s">
        <v>123</v>
      </c>
      <c r="L9" t="str">
        <f>_xlfn.XLOOKUP(MIN(B2:B113),B2:B113,A2:A113, "Not Found")</f>
        <v>3PCS Single Head Knitting Crochet Sweater Needle Set</v>
      </c>
    </row>
    <row r="10" spans="1:12" x14ac:dyDescent="0.35">
      <c r="A10" t="s">
        <v>11</v>
      </c>
      <c r="B10" s="5">
        <v>1274</v>
      </c>
      <c r="C10" s="5">
        <v>2800</v>
      </c>
      <c r="D10" s="9">
        <v>0.55000000000000004</v>
      </c>
      <c r="E10" s="9" t="str">
        <f t="shared" si="0"/>
        <v>High Discount</v>
      </c>
      <c r="F10" s="11">
        <f t="shared" si="1"/>
        <v>1526</v>
      </c>
      <c r="G10">
        <v>5</v>
      </c>
      <c r="H10" s="7">
        <v>4.8</v>
      </c>
      <c r="I10" t="s">
        <v>128</v>
      </c>
    </row>
    <row r="11" spans="1:12" x14ac:dyDescent="0.35">
      <c r="A11" t="s">
        <v>12</v>
      </c>
      <c r="B11" s="5">
        <v>1600</v>
      </c>
      <c r="C11" s="5">
        <v>2929</v>
      </c>
      <c r="D11" s="9">
        <v>0.45</v>
      </c>
      <c r="E11" s="9" t="str">
        <f t="shared" si="0"/>
        <v>High Discount</v>
      </c>
      <c r="F11" s="11">
        <f t="shared" si="1"/>
        <v>1329</v>
      </c>
      <c r="G11">
        <v>5</v>
      </c>
      <c r="H11" s="7">
        <v>3.8</v>
      </c>
      <c r="I11" t="s">
        <v>119</v>
      </c>
    </row>
    <row r="12" spans="1:12" x14ac:dyDescent="0.35">
      <c r="A12" t="s">
        <v>13</v>
      </c>
      <c r="B12" s="5">
        <v>799</v>
      </c>
      <c r="C12" s="5">
        <v>999</v>
      </c>
      <c r="D12" s="9">
        <v>0.2</v>
      </c>
      <c r="E12" s="9" t="str">
        <f t="shared" si="0"/>
        <v>Medium Discount</v>
      </c>
      <c r="F12" s="11">
        <f t="shared" si="1"/>
        <v>200</v>
      </c>
      <c r="G12">
        <v>12</v>
      </c>
      <c r="H12" s="7">
        <v>4.0999999999999996</v>
      </c>
      <c r="I12" t="s">
        <v>119</v>
      </c>
      <c r="K12" s="2" t="s">
        <v>131</v>
      </c>
    </row>
    <row r="13" spans="1:12" x14ac:dyDescent="0.35">
      <c r="A13" t="s">
        <v>14</v>
      </c>
      <c r="B13" s="5">
        <v>990</v>
      </c>
      <c r="C13" s="5">
        <v>1500</v>
      </c>
      <c r="D13" s="9">
        <v>0.34</v>
      </c>
      <c r="E13" s="9" t="str">
        <f t="shared" si="0"/>
        <v>Medium Discount</v>
      </c>
      <c r="F13" s="11">
        <f t="shared" si="1"/>
        <v>510</v>
      </c>
      <c r="G13">
        <v>39</v>
      </c>
      <c r="H13" s="7">
        <v>4.7</v>
      </c>
      <c r="I13" t="s">
        <v>128</v>
      </c>
      <c r="K13" s="2" t="s">
        <v>125</v>
      </c>
      <c r="L13" s="9">
        <f>AVERAGEIF(E2:E113,"Low Discount",D2:D113)</f>
        <v>7.2222222222222243E-2</v>
      </c>
    </row>
    <row r="14" spans="1:12" x14ac:dyDescent="0.35">
      <c r="A14" t="s">
        <v>15</v>
      </c>
      <c r="B14" s="5">
        <v>552</v>
      </c>
      <c r="C14" s="5">
        <v>1035</v>
      </c>
      <c r="D14" s="9">
        <v>0.47</v>
      </c>
      <c r="E14" s="9" t="str">
        <f t="shared" si="0"/>
        <v>High Discount</v>
      </c>
      <c r="F14" s="11">
        <f t="shared" si="1"/>
        <v>483</v>
      </c>
      <c r="G14">
        <v>12</v>
      </c>
      <c r="H14" s="7">
        <v>4.8</v>
      </c>
      <c r="I14" t="s">
        <v>128</v>
      </c>
      <c r="K14" s="2" t="s">
        <v>124</v>
      </c>
      <c r="L14" s="9">
        <f xml:space="preserve"> AVERAGEIF(E2:E113, "Medium Discount", D2:D113)</f>
        <v>0.30709677419354831</v>
      </c>
    </row>
    <row r="15" spans="1:12" x14ac:dyDescent="0.35">
      <c r="A15" t="s">
        <v>16</v>
      </c>
      <c r="B15" s="5">
        <v>501</v>
      </c>
      <c r="C15" s="5">
        <v>860</v>
      </c>
      <c r="D15" s="9">
        <v>0.42</v>
      </c>
      <c r="E15" s="9" t="str">
        <f t="shared" si="0"/>
        <v>High Discount</v>
      </c>
      <c r="F15" s="11">
        <f t="shared" si="1"/>
        <v>359</v>
      </c>
      <c r="G15">
        <v>6</v>
      </c>
      <c r="H15" s="7">
        <v>4.5</v>
      </c>
      <c r="I15" t="s">
        <v>128</v>
      </c>
      <c r="K15" s="2" t="s">
        <v>126</v>
      </c>
      <c r="L15" s="9">
        <f xml:space="preserve"> AVERAGEIF(E2:E113, "High Discount", D2:D113)</f>
        <v>0.48206349206349181</v>
      </c>
    </row>
    <row r="16" spans="1:12" x14ac:dyDescent="0.35">
      <c r="A16" t="s">
        <v>17</v>
      </c>
      <c r="B16" s="5">
        <v>1680</v>
      </c>
      <c r="C16" s="5">
        <v>2499</v>
      </c>
      <c r="D16" s="9">
        <v>0.33</v>
      </c>
      <c r="E16" s="9" t="str">
        <f t="shared" si="0"/>
        <v>Medium Discount</v>
      </c>
      <c r="F16" s="11">
        <f t="shared" si="1"/>
        <v>819</v>
      </c>
      <c r="G16">
        <v>9</v>
      </c>
      <c r="H16" s="7">
        <v>4.2</v>
      </c>
      <c r="I16" t="s">
        <v>119</v>
      </c>
    </row>
    <row r="17" spans="1:12" x14ac:dyDescent="0.35">
      <c r="A17" t="s">
        <v>18</v>
      </c>
      <c r="B17" s="5">
        <v>332</v>
      </c>
      <c r="C17" s="5">
        <v>684</v>
      </c>
      <c r="D17" s="9">
        <v>0.51</v>
      </c>
      <c r="E17" s="9" t="str">
        <f t="shared" si="0"/>
        <v>High Discount</v>
      </c>
      <c r="F17" s="11">
        <f t="shared" si="1"/>
        <v>352</v>
      </c>
      <c r="G17">
        <v>2</v>
      </c>
      <c r="H17" s="7">
        <v>5</v>
      </c>
      <c r="I17" t="s">
        <v>128</v>
      </c>
    </row>
    <row r="18" spans="1:12" x14ac:dyDescent="0.35">
      <c r="A18" t="s">
        <v>19</v>
      </c>
      <c r="B18" s="5">
        <v>195</v>
      </c>
      <c r="C18" s="5">
        <v>360</v>
      </c>
      <c r="D18" s="9">
        <v>0.46</v>
      </c>
      <c r="E18" s="9" t="str">
        <f t="shared" si="0"/>
        <v>High Discount</v>
      </c>
      <c r="F18" s="11">
        <f t="shared" si="1"/>
        <v>165</v>
      </c>
      <c r="G18">
        <v>2</v>
      </c>
      <c r="H18" s="7">
        <v>5</v>
      </c>
      <c r="I18" t="s">
        <v>128</v>
      </c>
      <c r="K18" s="2" t="s">
        <v>130</v>
      </c>
    </row>
    <row r="19" spans="1:12" x14ac:dyDescent="0.35">
      <c r="A19" t="s">
        <v>20</v>
      </c>
      <c r="B19" s="5">
        <v>2025</v>
      </c>
      <c r="C19" s="5">
        <v>3971</v>
      </c>
      <c r="D19" s="9">
        <v>0.49</v>
      </c>
      <c r="E19" s="9" t="str">
        <f t="shared" si="0"/>
        <v>High Discount</v>
      </c>
      <c r="F19" s="11">
        <f t="shared" si="1"/>
        <v>1946</v>
      </c>
      <c r="G19">
        <v>3</v>
      </c>
      <c r="H19" s="7">
        <v>5</v>
      </c>
      <c r="I19" t="s">
        <v>128</v>
      </c>
      <c r="K19" s="2" t="s">
        <v>125</v>
      </c>
      <c r="L19" s="12">
        <f>AVERAGEIF(E2:E113,"Low Discount",H2:H113)</f>
        <v>3.7249999999999996</v>
      </c>
    </row>
    <row r="20" spans="1:12" x14ac:dyDescent="0.35">
      <c r="A20" t="s">
        <v>21</v>
      </c>
      <c r="B20" s="5">
        <v>2999</v>
      </c>
      <c r="C20" s="5">
        <v>3699</v>
      </c>
      <c r="D20" s="9">
        <v>0.19</v>
      </c>
      <c r="E20" s="9" t="str">
        <f t="shared" si="0"/>
        <v>Low Discount</v>
      </c>
      <c r="F20" s="11">
        <f t="shared" si="1"/>
        <v>700</v>
      </c>
      <c r="G20">
        <v>5</v>
      </c>
      <c r="H20" s="7">
        <v>4.5999999999999996</v>
      </c>
      <c r="I20" t="s">
        <v>128</v>
      </c>
      <c r="K20" s="2" t="s">
        <v>124</v>
      </c>
      <c r="L20" s="12">
        <f>AVERAGEIF(E2:E113,"Medium Discount",H2:H113)</f>
        <v>4.245454545454546</v>
      </c>
    </row>
    <row r="21" spans="1:12" x14ac:dyDescent="0.35">
      <c r="A21" t="s">
        <v>22</v>
      </c>
      <c r="B21" s="5">
        <v>998</v>
      </c>
      <c r="C21" s="5">
        <v>1966</v>
      </c>
      <c r="D21" s="9">
        <v>0.49</v>
      </c>
      <c r="E21" s="9" t="str">
        <f t="shared" si="0"/>
        <v>High Discount</v>
      </c>
      <c r="F21" s="11">
        <f t="shared" si="1"/>
        <v>968</v>
      </c>
      <c r="G21">
        <v>44</v>
      </c>
      <c r="H21" s="7">
        <v>4.5999999999999996</v>
      </c>
      <c r="I21" t="s">
        <v>128</v>
      </c>
      <c r="K21" s="2" t="s">
        <v>126</v>
      </c>
      <c r="L21" s="12">
        <f>AVERAGEIF(E2:E113,"High Discount",H2:H113)</f>
        <v>3.6580645161290311</v>
      </c>
    </row>
    <row r="22" spans="1:12" x14ac:dyDescent="0.35">
      <c r="A22" t="s">
        <v>23</v>
      </c>
      <c r="B22" s="5">
        <v>38</v>
      </c>
      <c r="C22" s="5">
        <v>80</v>
      </c>
      <c r="D22" s="9">
        <v>0.53</v>
      </c>
      <c r="E22" s="9" t="str">
        <f t="shared" si="0"/>
        <v>High Discount</v>
      </c>
      <c r="F22" s="11">
        <f t="shared" si="1"/>
        <v>42</v>
      </c>
      <c r="G22">
        <v>13</v>
      </c>
      <c r="H22" s="7">
        <v>3.3</v>
      </c>
      <c r="I22" t="s">
        <v>119</v>
      </c>
      <c r="K22" s="2"/>
    </row>
    <row r="23" spans="1:12" x14ac:dyDescent="0.35">
      <c r="A23" t="s">
        <v>24</v>
      </c>
      <c r="B23" s="5">
        <v>1860</v>
      </c>
      <c r="C23" s="5">
        <v>3220</v>
      </c>
      <c r="D23" s="9">
        <v>0.42</v>
      </c>
      <c r="E23" s="9" t="str">
        <f t="shared" si="0"/>
        <v>High Discount</v>
      </c>
      <c r="F23" s="11">
        <f t="shared" si="1"/>
        <v>1360</v>
      </c>
      <c r="G23" t="s">
        <v>113</v>
      </c>
      <c r="H23" s="5" t="s">
        <v>113</v>
      </c>
      <c r="I23" t="s">
        <v>129</v>
      </c>
      <c r="K23" s="2" t="s">
        <v>132</v>
      </c>
    </row>
    <row r="24" spans="1:12" x14ac:dyDescent="0.35">
      <c r="A24" t="s">
        <v>25</v>
      </c>
      <c r="B24" s="5">
        <v>880</v>
      </c>
      <c r="C24" s="5">
        <v>1350</v>
      </c>
      <c r="D24" s="9">
        <v>0.35</v>
      </c>
      <c r="E24" s="9" t="str">
        <f t="shared" si="0"/>
        <v>Medium Discount</v>
      </c>
      <c r="F24" s="11">
        <f t="shared" si="1"/>
        <v>470</v>
      </c>
      <c r="G24">
        <v>6</v>
      </c>
      <c r="H24" s="7">
        <v>4</v>
      </c>
      <c r="I24" t="s">
        <v>119</v>
      </c>
      <c r="K24" s="2" t="s">
        <v>133</v>
      </c>
      <c r="L24">
        <f xml:space="preserve"> COUNTIF(I2:I113,"*Poor*")</f>
        <v>12</v>
      </c>
    </row>
    <row r="25" spans="1:12" x14ac:dyDescent="0.35">
      <c r="A25" t="s">
        <v>26</v>
      </c>
      <c r="B25" s="5">
        <v>1650</v>
      </c>
      <c r="C25" s="5">
        <v>2150</v>
      </c>
      <c r="D25" s="9">
        <v>0.23</v>
      </c>
      <c r="E25" s="9" t="str">
        <f t="shared" si="0"/>
        <v>Medium Discount</v>
      </c>
      <c r="F25" s="11">
        <f t="shared" si="1"/>
        <v>500</v>
      </c>
      <c r="G25">
        <v>14</v>
      </c>
      <c r="H25" s="7">
        <v>4.4000000000000004</v>
      </c>
      <c r="I25" t="s">
        <v>128</v>
      </c>
      <c r="K25" s="2" t="s">
        <v>119</v>
      </c>
      <c r="L25">
        <f>COUNTIF(I2:I113,"*Average*")</f>
        <v>21</v>
      </c>
    </row>
    <row r="26" spans="1:12" x14ac:dyDescent="0.35">
      <c r="A26" t="s">
        <v>27</v>
      </c>
      <c r="B26" s="5">
        <v>2048</v>
      </c>
      <c r="C26" s="5">
        <v>4500</v>
      </c>
      <c r="D26" s="9">
        <v>0.54</v>
      </c>
      <c r="E26" s="9" t="str">
        <f t="shared" si="0"/>
        <v>High Discount</v>
      </c>
      <c r="F26" s="11">
        <f t="shared" si="1"/>
        <v>2452</v>
      </c>
      <c r="G26">
        <v>7</v>
      </c>
      <c r="H26" s="7">
        <v>4.3</v>
      </c>
      <c r="I26" t="s">
        <v>119</v>
      </c>
      <c r="K26" s="2" t="s">
        <v>128</v>
      </c>
      <c r="L26">
        <f>COUNTIF(I8:I113,"*Excellent*")</f>
        <v>20</v>
      </c>
    </row>
    <row r="27" spans="1:12" x14ac:dyDescent="0.35">
      <c r="A27" t="s">
        <v>28</v>
      </c>
      <c r="B27" s="5">
        <v>420</v>
      </c>
      <c r="C27" s="5">
        <v>647</v>
      </c>
      <c r="D27" s="9">
        <v>0.35</v>
      </c>
      <c r="E27" s="9" t="str">
        <f t="shared" si="0"/>
        <v>Medium Discount</v>
      </c>
      <c r="F27" s="11">
        <f t="shared" si="1"/>
        <v>227</v>
      </c>
      <c r="G27">
        <v>49</v>
      </c>
      <c r="H27" s="7">
        <v>4.5999999999999996</v>
      </c>
      <c r="I27" t="s">
        <v>128</v>
      </c>
    </row>
    <row r="28" spans="1:12" x14ac:dyDescent="0.35">
      <c r="A28" t="s">
        <v>29</v>
      </c>
      <c r="B28" s="5">
        <v>2880</v>
      </c>
      <c r="C28" s="5">
        <v>3520</v>
      </c>
      <c r="D28" s="9">
        <v>0.18</v>
      </c>
      <c r="E28" s="9" t="str">
        <f t="shared" si="0"/>
        <v>Low Discount</v>
      </c>
      <c r="F28" s="11">
        <f t="shared" si="1"/>
        <v>640</v>
      </c>
      <c r="G28">
        <v>12</v>
      </c>
      <c r="H28" s="7">
        <v>3.8</v>
      </c>
      <c r="I28" t="s">
        <v>119</v>
      </c>
    </row>
    <row r="29" spans="1:12" x14ac:dyDescent="0.35">
      <c r="A29" t="s">
        <v>30</v>
      </c>
      <c r="B29" s="5">
        <v>1350</v>
      </c>
      <c r="C29" s="5">
        <v>1990</v>
      </c>
      <c r="D29" s="9">
        <v>0.32</v>
      </c>
      <c r="E29" s="9" t="str">
        <f t="shared" si="0"/>
        <v>Medium Discount</v>
      </c>
      <c r="F29" s="11">
        <f t="shared" si="1"/>
        <v>640</v>
      </c>
      <c r="G29">
        <v>13</v>
      </c>
      <c r="H29" s="7">
        <v>3.8</v>
      </c>
      <c r="I29" t="s">
        <v>119</v>
      </c>
    </row>
    <row r="30" spans="1:12" x14ac:dyDescent="0.35">
      <c r="A30" t="s">
        <v>31</v>
      </c>
      <c r="B30" s="5">
        <v>1758</v>
      </c>
      <c r="C30" s="5">
        <v>2499</v>
      </c>
      <c r="D30" s="9">
        <v>0.3</v>
      </c>
      <c r="E30" s="9" t="str">
        <f t="shared" si="0"/>
        <v>Medium Discount</v>
      </c>
      <c r="F30" s="11">
        <f t="shared" si="1"/>
        <v>741</v>
      </c>
      <c r="G30">
        <v>20</v>
      </c>
      <c r="H30" s="7">
        <v>4.0999999999999996</v>
      </c>
      <c r="I30" t="s">
        <v>119</v>
      </c>
    </row>
    <row r="31" spans="1:12" x14ac:dyDescent="0.35">
      <c r="A31" t="s">
        <v>32</v>
      </c>
      <c r="B31" s="5">
        <v>2200</v>
      </c>
      <c r="C31" s="5">
        <v>4080</v>
      </c>
      <c r="D31" s="9">
        <v>0.46</v>
      </c>
      <c r="E31" s="9" t="str">
        <f t="shared" si="0"/>
        <v>High Discount</v>
      </c>
      <c r="F31" s="11">
        <f t="shared" si="1"/>
        <v>1880</v>
      </c>
      <c r="G31" t="s">
        <v>113</v>
      </c>
      <c r="H31" s="7" t="s">
        <v>113</v>
      </c>
      <c r="I31" t="s">
        <v>129</v>
      </c>
    </row>
    <row r="32" spans="1:12" x14ac:dyDescent="0.35">
      <c r="A32" t="s">
        <v>33</v>
      </c>
      <c r="B32" s="5">
        <v>185</v>
      </c>
      <c r="C32" s="5">
        <v>382</v>
      </c>
      <c r="D32" s="9">
        <v>0.52</v>
      </c>
      <c r="E32" s="9" t="str">
        <f t="shared" si="0"/>
        <v>High Discount</v>
      </c>
      <c r="F32" s="11">
        <f t="shared" si="1"/>
        <v>197</v>
      </c>
      <c r="G32">
        <v>9</v>
      </c>
      <c r="H32" s="7">
        <v>4.3</v>
      </c>
      <c r="I32" t="s">
        <v>119</v>
      </c>
    </row>
    <row r="33" spans="1:9" x14ac:dyDescent="0.35">
      <c r="A33" t="s">
        <v>34</v>
      </c>
      <c r="B33" s="5">
        <v>980</v>
      </c>
      <c r="C33" s="5">
        <v>1490</v>
      </c>
      <c r="D33" s="9">
        <v>0.34</v>
      </c>
      <c r="E33" s="9" t="str">
        <f t="shared" si="0"/>
        <v>Medium Discount</v>
      </c>
      <c r="F33" s="11">
        <f t="shared" si="1"/>
        <v>510</v>
      </c>
      <c r="G33">
        <v>12</v>
      </c>
      <c r="H33" s="7">
        <v>4.7</v>
      </c>
      <c r="I33" t="s">
        <v>128</v>
      </c>
    </row>
    <row r="34" spans="1:9" x14ac:dyDescent="0.35">
      <c r="A34" t="s">
        <v>35</v>
      </c>
      <c r="B34" s="5">
        <v>1820</v>
      </c>
      <c r="C34" s="5">
        <v>3490</v>
      </c>
      <c r="D34" s="9">
        <v>0.48</v>
      </c>
      <c r="E34" s="9" t="str">
        <f t="shared" si="0"/>
        <v>High Discount</v>
      </c>
      <c r="F34" s="11">
        <f t="shared" si="1"/>
        <v>1670</v>
      </c>
      <c r="G34">
        <v>9</v>
      </c>
      <c r="H34" s="7">
        <v>4.3</v>
      </c>
      <c r="I34" t="s">
        <v>119</v>
      </c>
    </row>
    <row r="35" spans="1:9" x14ac:dyDescent="0.35">
      <c r="A35" t="s">
        <v>36</v>
      </c>
      <c r="B35" s="5">
        <v>1940</v>
      </c>
      <c r="C35" s="5">
        <v>2650</v>
      </c>
      <c r="D35" s="9">
        <v>0.27</v>
      </c>
      <c r="E35" s="9" t="str">
        <f t="shared" si="0"/>
        <v>Medium Discount</v>
      </c>
      <c r="F35" s="11">
        <f t="shared" si="1"/>
        <v>710</v>
      </c>
      <c r="G35">
        <v>20</v>
      </c>
      <c r="H35" s="7">
        <v>4.7</v>
      </c>
      <c r="I35" t="s">
        <v>128</v>
      </c>
    </row>
    <row r="36" spans="1:9" x14ac:dyDescent="0.35">
      <c r="A36" t="s">
        <v>37</v>
      </c>
      <c r="B36" s="5">
        <v>1980</v>
      </c>
      <c r="C36" s="5">
        <v>2699</v>
      </c>
      <c r="D36" s="9">
        <v>0.27</v>
      </c>
      <c r="E36" s="9" t="str">
        <f t="shared" si="0"/>
        <v>Medium Discount</v>
      </c>
      <c r="F36" s="11">
        <f t="shared" si="1"/>
        <v>719</v>
      </c>
      <c r="G36">
        <v>32</v>
      </c>
      <c r="H36" s="7">
        <v>4.5</v>
      </c>
      <c r="I36" t="s">
        <v>128</v>
      </c>
    </row>
    <row r="37" spans="1:9" x14ac:dyDescent="0.35">
      <c r="A37" t="s">
        <v>38</v>
      </c>
      <c r="B37" s="5">
        <v>1620</v>
      </c>
      <c r="C37" s="5">
        <v>2690</v>
      </c>
      <c r="D37" s="9">
        <v>0.4</v>
      </c>
      <c r="E37" s="9" t="str">
        <f t="shared" si="0"/>
        <v>High Discount</v>
      </c>
      <c r="F37" s="11">
        <f t="shared" si="1"/>
        <v>1070</v>
      </c>
      <c r="G37">
        <v>1</v>
      </c>
      <c r="H37" s="7">
        <v>5</v>
      </c>
      <c r="I37" t="s">
        <v>128</v>
      </c>
    </row>
    <row r="38" spans="1:9" x14ac:dyDescent="0.35">
      <c r="A38" t="s">
        <v>39</v>
      </c>
      <c r="B38" s="5">
        <v>171</v>
      </c>
      <c r="C38" s="5">
        <v>360</v>
      </c>
      <c r="D38" s="9">
        <v>0.53</v>
      </c>
      <c r="E38" s="9" t="str">
        <f t="shared" si="0"/>
        <v>High Discount</v>
      </c>
      <c r="F38" s="11">
        <f t="shared" si="1"/>
        <v>189</v>
      </c>
      <c r="G38">
        <v>2</v>
      </c>
      <c r="H38" s="7">
        <v>5</v>
      </c>
      <c r="I38" t="s">
        <v>128</v>
      </c>
    </row>
    <row r="39" spans="1:9" x14ac:dyDescent="0.35">
      <c r="A39" t="s">
        <v>40</v>
      </c>
      <c r="B39" s="5">
        <v>389</v>
      </c>
      <c r="C39" s="5">
        <v>656</v>
      </c>
      <c r="D39" s="9">
        <v>0.41</v>
      </c>
      <c r="E39" s="9" t="str">
        <f t="shared" si="0"/>
        <v>High Discount</v>
      </c>
      <c r="F39" s="11">
        <f t="shared" si="1"/>
        <v>267</v>
      </c>
      <c r="G39">
        <v>36</v>
      </c>
      <c r="H39" s="7">
        <v>4.3</v>
      </c>
      <c r="I39" t="s">
        <v>119</v>
      </c>
    </row>
    <row r="40" spans="1:9" x14ac:dyDescent="0.35">
      <c r="A40" t="s">
        <v>41</v>
      </c>
      <c r="B40" s="5">
        <f>AVERAGE(1620,1980)</f>
        <v>1800</v>
      </c>
      <c r="C40" s="5">
        <v>2700</v>
      </c>
      <c r="D40" s="9">
        <v>0.38</v>
      </c>
      <c r="E40" s="9" t="str">
        <f t="shared" si="0"/>
        <v>Medium Discount</v>
      </c>
      <c r="F40" s="11">
        <f t="shared" si="1"/>
        <v>900</v>
      </c>
      <c r="G40">
        <v>2</v>
      </c>
      <c r="H40" s="7">
        <v>4.5</v>
      </c>
      <c r="I40" t="s">
        <v>128</v>
      </c>
    </row>
    <row r="41" spans="1:9" x14ac:dyDescent="0.35">
      <c r="A41" t="s">
        <v>42</v>
      </c>
      <c r="B41" s="5">
        <v>2750</v>
      </c>
      <c r="C41" s="5">
        <v>4471</v>
      </c>
      <c r="D41" s="9">
        <v>0.38</v>
      </c>
      <c r="E41" s="9" t="str">
        <f t="shared" si="0"/>
        <v>Medium Discount</v>
      </c>
      <c r="F41" s="11">
        <f t="shared" si="1"/>
        <v>1721</v>
      </c>
      <c r="G41" t="s">
        <v>113</v>
      </c>
      <c r="H41" s="7" t="s">
        <v>113</v>
      </c>
      <c r="I41" t="s">
        <v>129</v>
      </c>
    </row>
    <row r="42" spans="1:9" x14ac:dyDescent="0.35">
      <c r="A42" t="s">
        <v>43</v>
      </c>
      <c r="B42" s="5">
        <v>475</v>
      </c>
      <c r="C42" s="5">
        <v>931</v>
      </c>
      <c r="D42" s="9">
        <v>0.49</v>
      </c>
      <c r="E42" s="9" t="str">
        <f t="shared" si="0"/>
        <v>High Discount</v>
      </c>
      <c r="F42" s="11">
        <f t="shared" si="1"/>
        <v>456</v>
      </c>
      <c r="G42" t="s">
        <v>113</v>
      </c>
      <c r="H42" s="7" t="s">
        <v>113</v>
      </c>
      <c r="I42" t="s">
        <v>129</v>
      </c>
    </row>
    <row r="43" spans="1:9" x14ac:dyDescent="0.35">
      <c r="A43" t="s">
        <v>44</v>
      </c>
      <c r="B43" s="5">
        <v>238</v>
      </c>
      <c r="C43" s="5">
        <v>476</v>
      </c>
      <c r="D43" s="9">
        <v>0.5</v>
      </c>
      <c r="E43" s="9" t="str">
        <f t="shared" si="0"/>
        <v>High Discount</v>
      </c>
      <c r="F43" s="11">
        <f t="shared" si="1"/>
        <v>238</v>
      </c>
      <c r="G43" t="s">
        <v>113</v>
      </c>
      <c r="H43" s="7" t="s">
        <v>113</v>
      </c>
      <c r="I43" t="s">
        <v>129</v>
      </c>
    </row>
    <row r="44" spans="1:9" x14ac:dyDescent="0.35">
      <c r="A44" t="s">
        <v>45</v>
      </c>
      <c r="B44" s="5">
        <v>610</v>
      </c>
      <c r="C44" s="5">
        <v>1060</v>
      </c>
      <c r="D44" s="9">
        <v>0.42</v>
      </c>
      <c r="E44" s="9" t="str">
        <f t="shared" si="0"/>
        <v>High Discount</v>
      </c>
      <c r="F44" s="11">
        <f t="shared" si="1"/>
        <v>450</v>
      </c>
      <c r="G44" t="s">
        <v>113</v>
      </c>
      <c r="H44" s="7" t="s">
        <v>113</v>
      </c>
      <c r="I44" t="s">
        <v>129</v>
      </c>
    </row>
    <row r="45" spans="1:9" x14ac:dyDescent="0.35">
      <c r="A45" t="s">
        <v>46</v>
      </c>
      <c r="B45" s="5">
        <v>2132</v>
      </c>
      <c r="C45" s="5">
        <v>2169</v>
      </c>
      <c r="D45" s="9">
        <v>0.02</v>
      </c>
      <c r="E45" s="9" t="str">
        <f t="shared" si="0"/>
        <v>Low Discount</v>
      </c>
      <c r="F45" s="11">
        <f t="shared" si="1"/>
        <v>37</v>
      </c>
      <c r="G45" t="s">
        <v>113</v>
      </c>
      <c r="H45" s="7" t="s">
        <v>113</v>
      </c>
      <c r="I45" t="s">
        <v>129</v>
      </c>
    </row>
    <row r="46" spans="1:9" x14ac:dyDescent="0.35">
      <c r="A46" t="s">
        <v>47</v>
      </c>
      <c r="B46" s="5">
        <v>999</v>
      </c>
      <c r="C46" s="5">
        <v>2000</v>
      </c>
      <c r="D46" s="9">
        <v>0.5</v>
      </c>
      <c r="E46" s="9" t="str">
        <f t="shared" si="0"/>
        <v>High Discount</v>
      </c>
      <c r="F46" s="11">
        <f t="shared" si="1"/>
        <v>1001</v>
      </c>
      <c r="G46" t="s">
        <v>113</v>
      </c>
      <c r="H46" s="7" t="s">
        <v>113</v>
      </c>
      <c r="I46" t="s">
        <v>129</v>
      </c>
    </row>
    <row r="47" spans="1:9" x14ac:dyDescent="0.35">
      <c r="A47" t="s">
        <v>48</v>
      </c>
      <c r="B47" s="5">
        <v>1190</v>
      </c>
      <c r="C47" s="5">
        <v>1785</v>
      </c>
      <c r="D47" s="9">
        <v>0.33</v>
      </c>
      <c r="E47" s="9" t="str">
        <f t="shared" si="0"/>
        <v>Medium Discount</v>
      </c>
      <c r="F47" s="11">
        <f t="shared" si="1"/>
        <v>595</v>
      </c>
      <c r="G47" t="s">
        <v>113</v>
      </c>
      <c r="H47" s="7" t="s">
        <v>113</v>
      </c>
      <c r="I47" t="s">
        <v>129</v>
      </c>
    </row>
    <row r="48" spans="1:9" x14ac:dyDescent="0.35">
      <c r="A48" t="s">
        <v>49</v>
      </c>
      <c r="B48" s="5">
        <v>671</v>
      </c>
      <c r="C48" s="5">
        <v>1316</v>
      </c>
      <c r="D48" s="9">
        <v>0.49</v>
      </c>
      <c r="E48" s="9" t="str">
        <f t="shared" si="0"/>
        <v>High Discount</v>
      </c>
      <c r="F48" s="11">
        <f t="shared" si="1"/>
        <v>645</v>
      </c>
      <c r="G48" t="s">
        <v>113</v>
      </c>
      <c r="H48" s="7" t="s">
        <v>113</v>
      </c>
      <c r="I48" t="s">
        <v>129</v>
      </c>
    </row>
    <row r="49" spans="1:9" x14ac:dyDescent="0.35">
      <c r="A49" t="s">
        <v>50</v>
      </c>
      <c r="B49" s="5">
        <v>1200</v>
      </c>
      <c r="C49" s="5">
        <v>1950</v>
      </c>
      <c r="D49" s="9">
        <v>0.38</v>
      </c>
      <c r="E49" s="9" t="str">
        <f t="shared" si="0"/>
        <v>Medium Discount</v>
      </c>
      <c r="F49" s="11">
        <f t="shared" si="1"/>
        <v>750</v>
      </c>
      <c r="G49" t="s">
        <v>113</v>
      </c>
      <c r="H49" s="7" t="s">
        <v>113</v>
      </c>
      <c r="I49" t="s">
        <v>129</v>
      </c>
    </row>
    <row r="50" spans="1:9" x14ac:dyDescent="0.35">
      <c r="A50" t="s">
        <v>51</v>
      </c>
      <c r="B50" s="5">
        <v>199</v>
      </c>
      <c r="C50" s="5">
        <v>504</v>
      </c>
      <c r="D50" s="9">
        <v>0.61</v>
      </c>
      <c r="E50" s="9" t="str">
        <f t="shared" si="0"/>
        <v>High Discount</v>
      </c>
      <c r="F50" s="11">
        <f t="shared" si="1"/>
        <v>305</v>
      </c>
      <c r="G50" t="s">
        <v>113</v>
      </c>
      <c r="H50" s="7" t="s">
        <v>113</v>
      </c>
      <c r="I50" t="s">
        <v>129</v>
      </c>
    </row>
    <row r="51" spans="1:9" x14ac:dyDescent="0.35">
      <c r="A51" t="s">
        <v>52</v>
      </c>
      <c r="B51" s="5">
        <v>299</v>
      </c>
      <c r="C51" s="5">
        <v>600</v>
      </c>
      <c r="D51" s="9">
        <v>0.5</v>
      </c>
      <c r="E51" s="9" t="str">
        <f t="shared" si="0"/>
        <v>High Discount</v>
      </c>
      <c r="F51" s="11">
        <f t="shared" si="1"/>
        <v>301</v>
      </c>
      <c r="G51" t="s">
        <v>113</v>
      </c>
      <c r="H51" s="7" t="s">
        <v>113</v>
      </c>
      <c r="I51" t="s">
        <v>129</v>
      </c>
    </row>
    <row r="52" spans="1:9" x14ac:dyDescent="0.35">
      <c r="A52" t="s">
        <v>53</v>
      </c>
      <c r="B52" s="5">
        <v>1660</v>
      </c>
      <c r="C52" s="5">
        <v>1699</v>
      </c>
      <c r="D52" s="9">
        <v>0.02</v>
      </c>
      <c r="E52" s="9" t="str">
        <f t="shared" si="0"/>
        <v>Low Discount</v>
      </c>
      <c r="F52" s="11">
        <f t="shared" si="1"/>
        <v>39</v>
      </c>
      <c r="G52" t="s">
        <v>113</v>
      </c>
      <c r="H52" s="7" t="s">
        <v>113</v>
      </c>
      <c r="I52" t="s">
        <v>129</v>
      </c>
    </row>
    <row r="53" spans="1:9" x14ac:dyDescent="0.35">
      <c r="A53" t="s">
        <v>54</v>
      </c>
      <c r="B53" s="5">
        <v>299</v>
      </c>
      <c r="C53" s="5">
        <v>384</v>
      </c>
      <c r="D53" s="9">
        <v>0.22</v>
      </c>
      <c r="E53" s="9" t="str">
        <f t="shared" si="0"/>
        <v>Medium Discount</v>
      </c>
      <c r="F53" s="11">
        <f t="shared" si="1"/>
        <v>85</v>
      </c>
      <c r="G53" t="s">
        <v>113</v>
      </c>
      <c r="H53" s="7" t="s">
        <v>113</v>
      </c>
      <c r="I53" t="s">
        <v>129</v>
      </c>
    </row>
    <row r="54" spans="1:9" x14ac:dyDescent="0.35">
      <c r="A54" t="s">
        <v>55</v>
      </c>
      <c r="B54" s="5">
        <v>1459</v>
      </c>
      <c r="C54" s="5">
        <v>1499</v>
      </c>
      <c r="D54" s="9">
        <v>0.03</v>
      </c>
      <c r="E54" s="9" t="str">
        <f t="shared" si="0"/>
        <v>Low Discount</v>
      </c>
      <c r="F54" s="11">
        <f t="shared" si="1"/>
        <v>40</v>
      </c>
      <c r="G54" t="s">
        <v>113</v>
      </c>
      <c r="H54" s="7" t="s">
        <v>113</v>
      </c>
      <c r="I54" t="s">
        <v>129</v>
      </c>
    </row>
    <row r="55" spans="1:9" x14ac:dyDescent="0.35">
      <c r="A55" t="s">
        <v>56</v>
      </c>
      <c r="B55" s="5">
        <v>799</v>
      </c>
      <c r="C55" s="5">
        <v>1343</v>
      </c>
      <c r="D55" s="9">
        <v>0.41</v>
      </c>
      <c r="E55" s="9" t="str">
        <f t="shared" si="0"/>
        <v>High Discount</v>
      </c>
      <c r="F55" s="11">
        <f t="shared" si="1"/>
        <v>544</v>
      </c>
      <c r="G55" t="s">
        <v>113</v>
      </c>
      <c r="H55" s="7" t="s">
        <v>113</v>
      </c>
      <c r="I55" t="s">
        <v>129</v>
      </c>
    </row>
    <row r="56" spans="1:9" x14ac:dyDescent="0.35">
      <c r="A56" t="s">
        <v>57</v>
      </c>
      <c r="B56" s="5">
        <v>499</v>
      </c>
      <c r="C56" s="5">
        <v>900</v>
      </c>
      <c r="D56" s="9">
        <v>0.45</v>
      </c>
      <c r="E56" s="9" t="str">
        <f t="shared" si="0"/>
        <v>High Discount</v>
      </c>
      <c r="F56" s="11">
        <f t="shared" si="1"/>
        <v>401</v>
      </c>
      <c r="G56" t="s">
        <v>113</v>
      </c>
      <c r="H56" s="7" t="s">
        <v>113</v>
      </c>
      <c r="I56" t="s">
        <v>129</v>
      </c>
    </row>
    <row r="57" spans="1:9" x14ac:dyDescent="0.35">
      <c r="A57" t="s">
        <v>58</v>
      </c>
      <c r="B57" s="5">
        <v>699</v>
      </c>
      <c r="C57" s="5">
        <v>1343</v>
      </c>
      <c r="D57" s="9">
        <v>0.48</v>
      </c>
      <c r="E57" s="9" t="str">
        <f t="shared" si="0"/>
        <v>High Discount</v>
      </c>
      <c r="F57" s="11">
        <f t="shared" si="1"/>
        <v>644</v>
      </c>
      <c r="G57" t="s">
        <v>113</v>
      </c>
      <c r="H57" s="7" t="s">
        <v>113</v>
      </c>
      <c r="I57" t="s">
        <v>129</v>
      </c>
    </row>
    <row r="58" spans="1:9" x14ac:dyDescent="0.35">
      <c r="A58" t="s">
        <v>59</v>
      </c>
      <c r="B58" s="5">
        <v>799</v>
      </c>
      <c r="C58" s="5">
        <v>1567</v>
      </c>
      <c r="D58" s="9">
        <v>0.49</v>
      </c>
      <c r="E58" s="9" t="str">
        <f t="shared" si="0"/>
        <v>High Discount</v>
      </c>
      <c r="F58" s="11">
        <f t="shared" si="1"/>
        <v>768</v>
      </c>
      <c r="G58" t="s">
        <v>113</v>
      </c>
      <c r="H58" s="7" t="s">
        <v>113</v>
      </c>
      <c r="I58" t="s">
        <v>129</v>
      </c>
    </row>
    <row r="59" spans="1:9" x14ac:dyDescent="0.35">
      <c r="A59" t="s">
        <v>60</v>
      </c>
      <c r="B59" s="5">
        <v>2799</v>
      </c>
      <c r="C59" s="5">
        <v>3810</v>
      </c>
      <c r="D59" s="9">
        <v>0.27</v>
      </c>
      <c r="E59" s="9" t="str">
        <f t="shared" si="0"/>
        <v>Medium Discount</v>
      </c>
      <c r="F59" s="11">
        <f t="shared" si="1"/>
        <v>1011</v>
      </c>
      <c r="G59" t="s">
        <v>113</v>
      </c>
      <c r="H59" s="7" t="s">
        <v>113</v>
      </c>
      <c r="I59" t="s">
        <v>129</v>
      </c>
    </row>
    <row r="60" spans="1:9" x14ac:dyDescent="0.35">
      <c r="A60" t="s">
        <v>57</v>
      </c>
      <c r="B60" s="5">
        <v>399</v>
      </c>
      <c r="C60" s="5">
        <v>896</v>
      </c>
      <c r="D60" s="9">
        <v>0.55000000000000004</v>
      </c>
      <c r="E60" s="9" t="str">
        <f t="shared" si="0"/>
        <v>High Discount</v>
      </c>
      <c r="F60" s="11">
        <f t="shared" si="1"/>
        <v>497</v>
      </c>
      <c r="G60" t="s">
        <v>113</v>
      </c>
      <c r="H60" s="7" t="s">
        <v>113</v>
      </c>
      <c r="I60" t="s">
        <v>129</v>
      </c>
    </row>
    <row r="61" spans="1:9" x14ac:dyDescent="0.35">
      <c r="A61" t="s">
        <v>61</v>
      </c>
      <c r="B61" s="5">
        <v>2170</v>
      </c>
      <c r="C61" s="5">
        <v>2500</v>
      </c>
      <c r="D61" s="9">
        <v>0.13</v>
      </c>
      <c r="E61" s="9" t="str">
        <f t="shared" si="0"/>
        <v>Low Discount</v>
      </c>
      <c r="F61" s="11">
        <f t="shared" si="1"/>
        <v>330</v>
      </c>
      <c r="G61">
        <v>6</v>
      </c>
      <c r="H61" s="7">
        <v>2.5</v>
      </c>
      <c r="I61" t="s">
        <v>127</v>
      </c>
    </row>
    <row r="62" spans="1:9" x14ac:dyDescent="0.35">
      <c r="A62" t="s">
        <v>62</v>
      </c>
      <c r="B62" s="5">
        <v>458</v>
      </c>
      <c r="C62" s="5">
        <v>986</v>
      </c>
      <c r="D62" s="9">
        <v>0.54</v>
      </c>
      <c r="E62" s="9" t="str">
        <f t="shared" si="0"/>
        <v>High Discount</v>
      </c>
      <c r="F62" s="11">
        <f t="shared" si="1"/>
        <v>528</v>
      </c>
      <c r="G62">
        <v>10</v>
      </c>
      <c r="H62" s="7">
        <v>3</v>
      </c>
      <c r="I62" t="s">
        <v>119</v>
      </c>
    </row>
    <row r="63" spans="1:9" x14ac:dyDescent="0.35">
      <c r="A63" t="s">
        <v>63</v>
      </c>
      <c r="B63" s="5">
        <v>2115</v>
      </c>
      <c r="C63" s="5">
        <v>4700</v>
      </c>
      <c r="D63" s="9">
        <v>0.55000000000000004</v>
      </c>
      <c r="E63" s="9" t="str">
        <f t="shared" si="0"/>
        <v>High Discount</v>
      </c>
      <c r="F63" s="11">
        <f t="shared" si="1"/>
        <v>2585</v>
      </c>
      <c r="G63">
        <v>13</v>
      </c>
      <c r="H63" s="7">
        <v>2.1</v>
      </c>
      <c r="I63" t="s">
        <v>127</v>
      </c>
    </row>
    <row r="64" spans="1:9" x14ac:dyDescent="0.35">
      <c r="A64" t="s">
        <v>64</v>
      </c>
      <c r="B64" s="5">
        <v>445</v>
      </c>
      <c r="C64" s="5">
        <v>873</v>
      </c>
      <c r="D64" s="9">
        <v>0.49</v>
      </c>
      <c r="E64" s="9" t="str">
        <f t="shared" si="0"/>
        <v>High Discount</v>
      </c>
      <c r="F64" s="11">
        <f t="shared" si="1"/>
        <v>428</v>
      </c>
      <c r="G64">
        <v>69</v>
      </c>
      <c r="H64" s="7">
        <v>2.8</v>
      </c>
      <c r="I64" t="s">
        <v>127</v>
      </c>
    </row>
    <row r="65" spans="1:9" x14ac:dyDescent="0.35">
      <c r="A65" t="s">
        <v>65</v>
      </c>
      <c r="B65" s="5">
        <v>325</v>
      </c>
      <c r="C65" s="5">
        <v>680</v>
      </c>
      <c r="D65" s="9">
        <v>0.52</v>
      </c>
      <c r="E65" s="9" t="str">
        <f t="shared" si="0"/>
        <v>High Discount</v>
      </c>
      <c r="F65" s="11">
        <f t="shared" si="1"/>
        <v>355</v>
      </c>
      <c r="G65">
        <v>15</v>
      </c>
      <c r="H65" s="7">
        <v>2.7</v>
      </c>
      <c r="I65" t="s">
        <v>127</v>
      </c>
    </row>
    <row r="66" spans="1:9" x14ac:dyDescent="0.35">
      <c r="A66" t="s">
        <v>66</v>
      </c>
      <c r="B66" s="5">
        <v>1220</v>
      </c>
      <c r="C66" s="5">
        <v>1555</v>
      </c>
      <c r="D66" s="9">
        <v>0.22</v>
      </c>
      <c r="E66" s="9" t="str">
        <f t="shared" si="0"/>
        <v>Medium Discount</v>
      </c>
      <c r="F66" s="11">
        <f t="shared" si="1"/>
        <v>335</v>
      </c>
      <c r="G66">
        <v>16</v>
      </c>
      <c r="H66" s="7">
        <v>2.9</v>
      </c>
      <c r="I66" t="s">
        <v>127</v>
      </c>
    </row>
    <row r="67" spans="1:9" x14ac:dyDescent="0.35">
      <c r="A67" t="s">
        <v>67</v>
      </c>
      <c r="B67" s="5">
        <v>990</v>
      </c>
      <c r="C67" s="5">
        <v>1814</v>
      </c>
      <c r="D67" s="9">
        <v>0.45</v>
      </c>
      <c r="E67" s="9" t="str">
        <f t="shared" ref="E67:E113" si="2">IF(D67&lt;20%, "Low Discount", IF(D67&lt;40%, "Medium Discount","High Discount"))</f>
        <v>High Discount</v>
      </c>
      <c r="F67" s="11">
        <f t="shared" ref="F67:F113" si="3">C67-B67</f>
        <v>824</v>
      </c>
      <c r="G67">
        <v>6</v>
      </c>
      <c r="H67" s="7">
        <v>2.2000000000000002</v>
      </c>
      <c r="I67" t="s">
        <v>127</v>
      </c>
    </row>
    <row r="68" spans="1:9" x14ac:dyDescent="0.35">
      <c r="A68" t="s">
        <v>68</v>
      </c>
      <c r="B68" s="5">
        <v>1000</v>
      </c>
      <c r="C68" s="5">
        <v>2000</v>
      </c>
      <c r="D68" s="9">
        <v>0.5</v>
      </c>
      <c r="E68" s="9" t="str">
        <f t="shared" si="2"/>
        <v>High Discount</v>
      </c>
      <c r="F68" s="11">
        <f t="shared" si="3"/>
        <v>1000</v>
      </c>
      <c r="G68">
        <v>7</v>
      </c>
      <c r="H68" s="7">
        <v>2.2999999999999998</v>
      </c>
      <c r="I68" t="s">
        <v>127</v>
      </c>
    </row>
    <row r="69" spans="1:9" x14ac:dyDescent="0.35">
      <c r="A69" t="s">
        <v>69</v>
      </c>
      <c r="B69" s="5">
        <v>3750</v>
      </c>
      <c r="C69" s="5">
        <v>6143</v>
      </c>
      <c r="D69" s="9">
        <v>0.39</v>
      </c>
      <c r="E69" s="9" t="str">
        <f t="shared" si="2"/>
        <v>Medium Discount</v>
      </c>
      <c r="F69" s="11">
        <f t="shared" si="3"/>
        <v>2393</v>
      </c>
      <c r="G69">
        <v>5</v>
      </c>
      <c r="H69" s="7">
        <v>3</v>
      </c>
      <c r="I69" t="s">
        <v>119</v>
      </c>
    </row>
    <row r="70" spans="1:9" x14ac:dyDescent="0.35">
      <c r="A70" t="s">
        <v>70</v>
      </c>
      <c r="B70" s="5">
        <v>382</v>
      </c>
      <c r="C70" s="5">
        <v>700</v>
      </c>
      <c r="D70" s="9">
        <v>0.45</v>
      </c>
      <c r="E70" s="9" t="str">
        <f t="shared" si="2"/>
        <v>High Discount</v>
      </c>
      <c r="F70" s="11">
        <f t="shared" si="3"/>
        <v>318</v>
      </c>
      <c r="G70">
        <v>17</v>
      </c>
      <c r="H70" s="7">
        <v>2.6</v>
      </c>
      <c r="I70" t="s">
        <v>127</v>
      </c>
    </row>
    <row r="71" spans="1:9" x14ac:dyDescent="0.35">
      <c r="A71" t="s">
        <v>71</v>
      </c>
      <c r="B71" s="5">
        <v>2300</v>
      </c>
      <c r="C71" s="5">
        <v>3240</v>
      </c>
      <c r="D71" s="9">
        <v>0.28999999999999998</v>
      </c>
      <c r="E71" s="9" t="str">
        <f t="shared" si="2"/>
        <v>Medium Discount</v>
      </c>
      <c r="F71" s="11">
        <f t="shared" si="3"/>
        <v>940</v>
      </c>
      <c r="G71">
        <v>5</v>
      </c>
      <c r="H71" s="7">
        <v>3</v>
      </c>
      <c r="I71" t="s">
        <v>119</v>
      </c>
    </row>
    <row r="72" spans="1:9" x14ac:dyDescent="0.35">
      <c r="A72" t="s">
        <v>72</v>
      </c>
      <c r="B72" s="5">
        <v>345</v>
      </c>
      <c r="C72" s="5">
        <v>602</v>
      </c>
      <c r="D72" s="9">
        <v>0.43</v>
      </c>
      <c r="E72" s="9" t="str">
        <f t="shared" si="2"/>
        <v>High Discount</v>
      </c>
      <c r="F72" s="11">
        <f t="shared" si="3"/>
        <v>257</v>
      </c>
      <c r="G72">
        <v>6</v>
      </c>
      <c r="H72" s="7">
        <v>2.2999999999999998</v>
      </c>
      <c r="I72" t="s">
        <v>127</v>
      </c>
    </row>
    <row r="73" spans="1:9" x14ac:dyDescent="0.35">
      <c r="A73" t="s">
        <v>73</v>
      </c>
      <c r="B73" s="5">
        <v>509</v>
      </c>
      <c r="C73" s="5">
        <v>899</v>
      </c>
      <c r="D73" s="9">
        <v>0.43</v>
      </c>
      <c r="E73" s="9" t="str">
        <f t="shared" si="2"/>
        <v>High Discount</v>
      </c>
      <c r="F73" s="11">
        <f t="shared" si="3"/>
        <v>390</v>
      </c>
      <c r="G73">
        <v>5</v>
      </c>
      <c r="H73" s="7">
        <v>3</v>
      </c>
      <c r="I73" t="s">
        <v>119</v>
      </c>
    </row>
    <row r="74" spans="1:9" x14ac:dyDescent="0.35">
      <c r="A74" t="s">
        <v>74</v>
      </c>
      <c r="B74" s="5">
        <v>968</v>
      </c>
      <c r="C74" s="5">
        <v>1814</v>
      </c>
      <c r="D74" s="9">
        <v>0.47</v>
      </c>
      <c r="E74" s="9" t="str">
        <f t="shared" si="2"/>
        <v>High Discount</v>
      </c>
      <c r="F74" s="11">
        <f t="shared" si="3"/>
        <v>846</v>
      </c>
      <c r="G74">
        <v>6</v>
      </c>
      <c r="H74" s="7">
        <v>2.2000000000000002</v>
      </c>
      <c r="I74" t="s">
        <v>127</v>
      </c>
    </row>
    <row r="75" spans="1:9" x14ac:dyDescent="0.35">
      <c r="A75" t="s">
        <v>75</v>
      </c>
      <c r="B75" s="5">
        <v>1570</v>
      </c>
      <c r="C75" s="5">
        <v>2988</v>
      </c>
      <c r="D75" s="9">
        <v>0.47</v>
      </c>
      <c r="E75" s="9" t="str">
        <f t="shared" si="2"/>
        <v>High Discount</v>
      </c>
      <c r="F75" s="11">
        <f t="shared" si="3"/>
        <v>1418</v>
      </c>
      <c r="G75">
        <v>7</v>
      </c>
      <c r="H75" s="7">
        <v>2.1</v>
      </c>
      <c r="I75" t="s">
        <v>127</v>
      </c>
    </row>
    <row r="76" spans="1:9" x14ac:dyDescent="0.35">
      <c r="A76" t="s">
        <v>76</v>
      </c>
      <c r="B76" s="5">
        <v>790</v>
      </c>
      <c r="C76" s="5">
        <v>1485</v>
      </c>
      <c r="D76" s="9">
        <v>0.47</v>
      </c>
      <c r="E76" s="9" t="str">
        <f t="shared" si="2"/>
        <v>High Discount</v>
      </c>
      <c r="F76" s="11">
        <f t="shared" si="3"/>
        <v>695</v>
      </c>
      <c r="G76" t="s">
        <v>113</v>
      </c>
      <c r="H76" s="7" t="s">
        <v>113</v>
      </c>
      <c r="I76" t="s">
        <v>129</v>
      </c>
    </row>
    <row r="77" spans="1:9" x14ac:dyDescent="0.35">
      <c r="A77" t="s">
        <v>77</v>
      </c>
      <c r="B77" s="5">
        <v>690</v>
      </c>
      <c r="C77" s="5">
        <v>1200</v>
      </c>
      <c r="D77" s="9">
        <v>0.43</v>
      </c>
      <c r="E77" s="9" t="str">
        <f t="shared" si="2"/>
        <v>High Discount</v>
      </c>
      <c r="F77" s="11">
        <f t="shared" si="3"/>
        <v>510</v>
      </c>
      <c r="G77" t="s">
        <v>113</v>
      </c>
      <c r="H77" s="7" t="s">
        <v>113</v>
      </c>
      <c r="I77" t="s">
        <v>129</v>
      </c>
    </row>
    <row r="78" spans="1:9" x14ac:dyDescent="0.35">
      <c r="A78" t="s">
        <v>78</v>
      </c>
      <c r="B78" s="5">
        <v>1732</v>
      </c>
      <c r="C78" s="5">
        <v>1799</v>
      </c>
      <c r="D78" s="9">
        <v>0.04</v>
      </c>
      <c r="E78" s="9" t="str">
        <f t="shared" si="2"/>
        <v>Low Discount</v>
      </c>
      <c r="F78" s="11">
        <f t="shared" si="3"/>
        <v>67</v>
      </c>
      <c r="G78" t="s">
        <v>113</v>
      </c>
      <c r="H78" s="7" t="s">
        <v>113</v>
      </c>
      <c r="I78" t="s">
        <v>129</v>
      </c>
    </row>
    <row r="79" spans="1:9" x14ac:dyDescent="0.35">
      <c r="A79" t="s">
        <v>79</v>
      </c>
      <c r="B79" s="5">
        <v>230</v>
      </c>
      <c r="C79" s="5">
        <v>450</v>
      </c>
      <c r="D79" s="9">
        <v>0.49</v>
      </c>
      <c r="E79" s="9" t="str">
        <f t="shared" si="2"/>
        <v>High Discount</v>
      </c>
      <c r="F79" s="11">
        <f t="shared" si="3"/>
        <v>220</v>
      </c>
      <c r="G79" t="s">
        <v>113</v>
      </c>
      <c r="H79" s="7" t="s">
        <v>113</v>
      </c>
      <c r="I79" t="s">
        <v>129</v>
      </c>
    </row>
    <row r="80" spans="1:9" x14ac:dyDescent="0.35">
      <c r="A80" t="s">
        <v>80</v>
      </c>
      <c r="B80" s="5">
        <v>1189</v>
      </c>
      <c r="C80" s="5">
        <v>2199</v>
      </c>
      <c r="D80" s="9">
        <v>0.46</v>
      </c>
      <c r="E80" s="9" t="str">
        <f t="shared" si="2"/>
        <v>High Discount</v>
      </c>
      <c r="F80" s="11">
        <f t="shared" si="3"/>
        <v>1010</v>
      </c>
      <c r="G80">
        <v>1</v>
      </c>
      <c r="H80" s="7">
        <v>3</v>
      </c>
      <c r="I80" t="s">
        <v>119</v>
      </c>
    </row>
    <row r="81" spans="1:9" x14ac:dyDescent="0.35">
      <c r="A81" t="s">
        <v>81</v>
      </c>
      <c r="B81" s="5">
        <v>979</v>
      </c>
      <c r="C81" s="5">
        <v>1920</v>
      </c>
      <c r="D81" s="9">
        <v>0.49</v>
      </c>
      <c r="E81" s="9" t="str">
        <f t="shared" si="2"/>
        <v>High Discount</v>
      </c>
      <c r="F81" s="11">
        <f t="shared" si="3"/>
        <v>941</v>
      </c>
      <c r="G81">
        <v>1</v>
      </c>
      <c r="H81" s="7">
        <v>5</v>
      </c>
      <c r="I81" t="s">
        <v>128</v>
      </c>
    </row>
    <row r="82" spans="1:9" x14ac:dyDescent="0.35">
      <c r="A82" t="s">
        <v>82</v>
      </c>
      <c r="B82" s="5">
        <v>1460</v>
      </c>
      <c r="C82" s="5">
        <v>2290</v>
      </c>
      <c r="D82" s="9">
        <v>0.36</v>
      </c>
      <c r="E82" s="9" t="str">
        <f t="shared" si="2"/>
        <v>Medium Discount</v>
      </c>
      <c r="F82" s="11">
        <f t="shared" si="3"/>
        <v>830</v>
      </c>
      <c r="G82" t="s">
        <v>113</v>
      </c>
      <c r="H82" s="7" t="s">
        <v>113</v>
      </c>
      <c r="I82" t="s">
        <v>129</v>
      </c>
    </row>
    <row r="83" spans="1:9" x14ac:dyDescent="0.35">
      <c r="A83" t="s">
        <v>83</v>
      </c>
      <c r="B83" s="5">
        <v>1666</v>
      </c>
      <c r="C83" s="5">
        <v>1699</v>
      </c>
      <c r="D83" s="9">
        <v>0.02</v>
      </c>
      <c r="E83" s="9" t="str">
        <f t="shared" si="2"/>
        <v>Low Discount</v>
      </c>
      <c r="F83" s="11">
        <f t="shared" si="3"/>
        <v>33</v>
      </c>
      <c r="G83" t="s">
        <v>113</v>
      </c>
      <c r="H83" s="7" t="s">
        <v>113</v>
      </c>
      <c r="I83" t="s">
        <v>129</v>
      </c>
    </row>
    <row r="84" spans="1:9" x14ac:dyDescent="0.35">
      <c r="A84" t="s">
        <v>84</v>
      </c>
      <c r="B84" s="5">
        <v>330</v>
      </c>
      <c r="C84" s="5">
        <v>647</v>
      </c>
      <c r="D84" s="9">
        <v>0.49</v>
      </c>
      <c r="E84" s="9" t="str">
        <f t="shared" si="2"/>
        <v>High Discount</v>
      </c>
      <c r="F84" s="11">
        <f t="shared" si="3"/>
        <v>317</v>
      </c>
      <c r="G84">
        <v>1</v>
      </c>
      <c r="H84" s="7">
        <v>4</v>
      </c>
      <c r="I84" t="s">
        <v>119</v>
      </c>
    </row>
    <row r="85" spans="1:9" x14ac:dyDescent="0.35">
      <c r="A85" t="s">
        <v>51</v>
      </c>
      <c r="B85" s="5">
        <v>176</v>
      </c>
      <c r="C85" s="5">
        <v>345</v>
      </c>
      <c r="D85" s="9">
        <v>0.49</v>
      </c>
      <c r="E85" s="9" t="str">
        <f t="shared" si="2"/>
        <v>High Discount</v>
      </c>
      <c r="F85" s="11">
        <f t="shared" si="3"/>
        <v>169</v>
      </c>
      <c r="G85" t="s">
        <v>113</v>
      </c>
      <c r="H85" s="7" t="s">
        <v>113</v>
      </c>
      <c r="I85" t="s">
        <v>129</v>
      </c>
    </row>
    <row r="86" spans="1:9" x14ac:dyDescent="0.35">
      <c r="A86" t="s">
        <v>85</v>
      </c>
      <c r="B86" s="5">
        <v>1466</v>
      </c>
      <c r="C86" s="5">
        <v>1699</v>
      </c>
      <c r="D86" s="9">
        <v>0.14000000000000001</v>
      </c>
      <c r="E86" s="9" t="str">
        <f t="shared" si="2"/>
        <v>Low Discount</v>
      </c>
      <c r="F86" s="11">
        <f t="shared" si="3"/>
        <v>233</v>
      </c>
      <c r="G86" t="s">
        <v>113</v>
      </c>
      <c r="H86" s="7" t="s">
        <v>113</v>
      </c>
      <c r="I86" t="s">
        <v>129</v>
      </c>
    </row>
    <row r="87" spans="1:9" x14ac:dyDescent="0.35">
      <c r="A87" t="s">
        <v>86</v>
      </c>
      <c r="B87" s="5">
        <v>274</v>
      </c>
      <c r="C87" s="5">
        <v>537</v>
      </c>
      <c r="D87" s="9">
        <v>0.49</v>
      </c>
      <c r="E87" s="9" t="str">
        <f t="shared" si="2"/>
        <v>High Discount</v>
      </c>
      <c r="F87" s="11">
        <f t="shared" si="3"/>
        <v>263</v>
      </c>
      <c r="G87" t="s">
        <v>113</v>
      </c>
      <c r="H87" s="7" t="s">
        <v>113</v>
      </c>
      <c r="I87" t="s">
        <v>129</v>
      </c>
    </row>
    <row r="88" spans="1:9" x14ac:dyDescent="0.35">
      <c r="A88" t="s">
        <v>87</v>
      </c>
      <c r="B88" s="5">
        <v>799</v>
      </c>
      <c r="C88" s="5">
        <v>900</v>
      </c>
      <c r="D88" s="9">
        <v>0.11</v>
      </c>
      <c r="E88" s="9" t="str">
        <f t="shared" si="2"/>
        <v>Low Discount</v>
      </c>
      <c r="F88" s="11">
        <f t="shared" si="3"/>
        <v>101</v>
      </c>
      <c r="G88" t="s">
        <v>113</v>
      </c>
      <c r="H88" s="7" t="s">
        <v>113</v>
      </c>
      <c r="I88" t="s">
        <v>129</v>
      </c>
    </row>
    <row r="89" spans="1:9" x14ac:dyDescent="0.35">
      <c r="A89" t="s">
        <v>59</v>
      </c>
      <c r="B89" s="5">
        <v>657</v>
      </c>
      <c r="C89" s="5">
        <v>1288</v>
      </c>
      <c r="D89" s="9">
        <v>0.49</v>
      </c>
      <c r="E89" s="9" t="str">
        <f t="shared" si="2"/>
        <v>High Discount</v>
      </c>
      <c r="F89" s="11">
        <f t="shared" si="3"/>
        <v>631</v>
      </c>
      <c r="G89" t="s">
        <v>113</v>
      </c>
      <c r="H89" s="7" t="s">
        <v>113</v>
      </c>
      <c r="I89" t="s">
        <v>129</v>
      </c>
    </row>
    <row r="90" spans="1:9" x14ac:dyDescent="0.35">
      <c r="A90" t="s">
        <v>88</v>
      </c>
      <c r="B90" s="5">
        <v>1468</v>
      </c>
      <c r="C90" s="5">
        <v>1699</v>
      </c>
      <c r="D90" s="9">
        <v>0.14000000000000001</v>
      </c>
      <c r="E90" s="9" t="str">
        <f t="shared" si="2"/>
        <v>Low Discount</v>
      </c>
      <c r="F90" s="11">
        <f t="shared" si="3"/>
        <v>231</v>
      </c>
      <c r="G90" t="s">
        <v>113</v>
      </c>
      <c r="H90" s="7" t="s">
        <v>113</v>
      </c>
      <c r="I90" t="s">
        <v>129</v>
      </c>
    </row>
    <row r="91" spans="1:9" x14ac:dyDescent="0.35">
      <c r="A91" t="s">
        <v>89</v>
      </c>
      <c r="B91" s="5">
        <v>630</v>
      </c>
      <c r="C91" s="5">
        <v>1100</v>
      </c>
      <c r="D91" s="9">
        <v>0.43</v>
      </c>
      <c r="E91" s="9" t="str">
        <f t="shared" si="2"/>
        <v>High Discount</v>
      </c>
      <c r="F91" s="11">
        <f t="shared" si="3"/>
        <v>470</v>
      </c>
      <c r="G91" t="s">
        <v>113</v>
      </c>
      <c r="H91" s="7" t="s">
        <v>113</v>
      </c>
      <c r="I91" t="s">
        <v>129</v>
      </c>
    </row>
    <row r="92" spans="1:9" x14ac:dyDescent="0.35">
      <c r="A92" t="s">
        <v>90</v>
      </c>
      <c r="B92" s="5">
        <v>850</v>
      </c>
      <c r="C92" s="5">
        <v>1700</v>
      </c>
      <c r="D92" s="9">
        <v>0.5</v>
      </c>
      <c r="E92" s="9" t="str">
        <f t="shared" si="2"/>
        <v>High Discount</v>
      </c>
      <c r="F92" s="11">
        <f t="shared" si="3"/>
        <v>850</v>
      </c>
      <c r="G92" t="s">
        <v>113</v>
      </c>
      <c r="H92" s="7" t="s">
        <v>113</v>
      </c>
      <c r="I92" t="s">
        <v>129</v>
      </c>
    </row>
    <row r="93" spans="1:9" x14ac:dyDescent="0.35">
      <c r="A93" t="s">
        <v>91</v>
      </c>
      <c r="B93" s="5">
        <v>1300</v>
      </c>
      <c r="C93" s="5">
        <v>2500</v>
      </c>
      <c r="D93" s="9">
        <v>0.48</v>
      </c>
      <c r="E93" s="9" t="str">
        <f t="shared" si="2"/>
        <v>High Discount</v>
      </c>
      <c r="F93" s="11">
        <f t="shared" si="3"/>
        <v>1200</v>
      </c>
      <c r="G93" t="s">
        <v>113</v>
      </c>
      <c r="H93" s="7" t="s">
        <v>113</v>
      </c>
      <c r="I93" t="s">
        <v>129</v>
      </c>
    </row>
    <row r="94" spans="1:9" x14ac:dyDescent="0.35">
      <c r="A94" t="s">
        <v>92</v>
      </c>
      <c r="B94" s="5">
        <v>105</v>
      </c>
      <c r="C94" s="5">
        <v>200</v>
      </c>
      <c r="D94" s="9">
        <v>0.48</v>
      </c>
      <c r="E94" s="9" t="str">
        <f t="shared" si="2"/>
        <v>High Discount</v>
      </c>
      <c r="F94" s="11">
        <f t="shared" si="3"/>
        <v>95</v>
      </c>
      <c r="G94" t="s">
        <v>113</v>
      </c>
      <c r="H94" s="7" t="s">
        <v>113</v>
      </c>
      <c r="I94" t="s">
        <v>129</v>
      </c>
    </row>
    <row r="95" spans="1:9" x14ac:dyDescent="0.35">
      <c r="A95" t="s">
        <v>93</v>
      </c>
      <c r="B95" s="5">
        <v>899</v>
      </c>
      <c r="C95" s="5">
        <v>1699</v>
      </c>
      <c r="D95" s="9">
        <v>0.47</v>
      </c>
      <c r="E95" s="9" t="str">
        <f t="shared" si="2"/>
        <v>High Discount</v>
      </c>
      <c r="F95" s="11">
        <f t="shared" si="3"/>
        <v>800</v>
      </c>
      <c r="G95" t="s">
        <v>113</v>
      </c>
      <c r="H95" s="7" t="s">
        <v>113</v>
      </c>
      <c r="I95" t="s">
        <v>129</v>
      </c>
    </row>
    <row r="96" spans="1:9" x14ac:dyDescent="0.35">
      <c r="A96" t="s">
        <v>94</v>
      </c>
      <c r="B96" s="5">
        <v>1200</v>
      </c>
      <c r="C96" s="5">
        <v>2400</v>
      </c>
      <c r="D96" s="9">
        <v>0.5</v>
      </c>
      <c r="E96" s="9" t="str">
        <f t="shared" si="2"/>
        <v>High Discount</v>
      </c>
      <c r="F96" s="11">
        <f t="shared" si="3"/>
        <v>1200</v>
      </c>
      <c r="G96" t="s">
        <v>113</v>
      </c>
      <c r="H96" s="7" t="s">
        <v>113</v>
      </c>
      <c r="I96" t="s">
        <v>129</v>
      </c>
    </row>
    <row r="97" spans="1:9" x14ac:dyDescent="0.35">
      <c r="A97" t="s">
        <v>95</v>
      </c>
      <c r="B97" s="5">
        <v>1526</v>
      </c>
      <c r="C97" s="5">
        <v>1660</v>
      </c>
      <c r="D97" s="9">
        <v>0.08</v>
      </c>
      <c r="E97" s="9" t="str">
        <f t="shared" si="2"/>
        <v>Low Discount</v>
      </c>
      <c r="F97" s="11">
        <f t="shared" si="3"/>
        <v>134</v>
      </c>
      <c r="G97" t="s">
        <v>113</v>
      </c>
      <c r="H97" s="7" t="s">
        <v>113</v>
      </c>
      <c r="I97" t="s">
        <v>129</v>
      </c>
    </row>
    <row r="98" spans="1:9" x14ac:dyDescent="0.35">
      <c r="A98" t="s">
        <v>96</v>
      </c>
      <c r="B98" s="5">
        <v>1462</v>
      </c>
      <c r="C98" s="5">
        <v>1499</v>
      </c>
      <c r="D98" s="9">
        <v>0.02</v>
      </c>
      <c r="E98" s="9" t="str">
        <f t="shared" si="2"/>
        <v>Low Discount</v>
      </c>
      <c r="F98" s="11">
        <f t="shared" si="3"/>
        <v>37</v>
      </c>
      <c r="G98" t="s">
        <v>113</v>
      </c>
      <c r="H98" s="7" t="s">
        <v>113</v>
      </c>
      <c r="I98" t="s">
        <v>129</v>
      </c>
    </row>
    <row r="99" spans="1:9" x14ac:dyDescent="0.35">
      <c r="A99" t="s">
        <v>97</v>
      </c>
      <c r="B99" s="5">
        <v>248</v>
      </c>
      <c r="C99" s="5">
        <v>486</v>
      </c>
      <c r="D99" s="9">
        <v>0.49</v>
      </c>
      <c r="E99" s="9" t="str">
        <f t="shared" si="2"/>
        <v>High Discount</v>
      </c>
      <c r="F99" s="11">
        <f t="shared" si="3"/>
        <v>238</v>
      </c>
      <c r="G99" t="s">
        <v>113</v>
      </c>
      <c r="H99" s="7" t="s">
        <v>113</v>
      </c>
      <c r="I99" t="s">
        <v>129</v>
      </c>
    </row>
    <row r="100" spans="1:9" x14ac:dyDescent="0.35">
      <c r="A100" t="s">
        <v>98</v>
      </c>
      <c r="B100" s="5">
        <v>3546</v>
      </c>
      <c r="C100" s="5">
        <v>3699</v>
      </c>
      <c r="D100" s="9">
        <v>0.04</v>
      </c>
      <c r="E100" s="9" t="str">
        <f t="shared" si="2"/>
        <v>Low Discount</v>
      </c>
      <c r="F100" s="11">
        <f t="shared" si="3"/>
        <v>153</v>
      </c>
      <c r="G100" t="s">
        <v>113</v>
      </c>
      <c r="H100" s="7" t="s">
        <v>113</v>
      </c>
      <c r="I100" t="s">
        <v>129</v>
      </c>
    </row>
    <row r="101" spans="1:9" x14ac:dyDescent="0.35">
      <c r="A101" t="s">
        <v>99</v>
      </c>
      <c r="B101" s="5">
        <v>525</v>
      </c>
      <c r="C101" s="5">
        <v>1029</v>
      </c>
      <c r="D101" s="9">
        <v>0.49</v>
      </c>
      <c r="E101" s="9" t="str">
        <f t="shared" si="2"/>
        <v>High Discount</v>
      </c>
      <c r="F101" s="11">
        <f t="shared" si="3"/>
        <v>504</v>
      </c>
      <c r="G101" t="s">
        <v>113</v>
      </c>
      <c r="H101" s="7" t="s">
        <v>113</v>
      </c>
      <c r="I101" t="s">
        <v>129</v>
      </c>
    </row>
    <row r="102" spans="1:9" x14ac:dyDescent="0.35">
      <c r="A102" t="s">
        <v>100</v>
      </c>
      <c r="B102" s="5">
        <v>1080</v>
      </c>
      <c r="C102" s="5">
        <v>1874</v>
      </c>
      <c r="D102" s="9">
        <v>0.42</v>
      </c>
      <c r="E102" s="9" t="str">
        <f t="shared" si="2"/>
        <v>High Discount</v>
      </c>
      <c r="F102" s="11">
        <f t="shared" si="3"/>
        <v>794</v>
      </c>
      <c r="G102" t="s">
        <v>113</v>
      </c>
      <c r="H102" s="7" t="s">
        <v>113</v>
      </c>
      <c r="I102" t="s">
        <v>129</v>
      </c>
    </row>
    <row r="103" spans="1:9" x14ac:dyDescent="0.35">
      <c r="A103" t="s">
        <v>101</v>
      </c>
      <c r="B103" s="5">
        <v>3640</v>
      </c>
      <c r="C103" s="5">
        <v>4588</v>
      </c>
      <c r="D103" s="9">
        <v>0.21</v>
      </c>
      <c r="E103" s="9" t="str">
        <f t="shared" si="2"/>
        <v>Medium Discount</v>
      </c>
      <c r="F103" s="11">
        <f t="shared" si="3"/>
        <v>948</v>
      </c>
      <c r="G103">
        <v>1</v>
      </c>
      <c r="H103" s="7">
        <v>5</v>
      </c>
      <c r="I103" t="s">
        <v>128</v>
      </c>
    </row>
    <row r="104" spans="1:9" x14ac:dyDescent="0.35">
      <c r="A104" t="s">
        <v>102</v>
      </c>
      <c r="B104" s="5">
        <v>1420</v>
      </c>
      <c r="C104" s="5">
        <v>2420</v>
      </c>
      <c r="D104" s="9">
        <v>0.41</v>
      </c>
      <c r="E104" s="9" t="str">
        <f t="shared" si="2"/>
        <v>High Discount</v>
      </c>
      <c r="F104" s="11">
        <f t="shared" si="3"/>
        <v>1000</v>
      </c>
      <c r="G104" t="s">
        <v>113</v>
      </c>
      <c r="H104" s="7" t="s">
        <v>113</v>
      </c>
      <c r="I104" t="s">
        <v>129</v>
      </c>
    </row>
    <row r="105" spans="1:9" x14ac:dyDescent="0.35">
      <c r="A105" t="s">
        <v>103</v>
      </c>
      <c r="B105" s="5">
        <v>1875</v>
      </c>
      <c r="C105" s="5">
        <v>1899</v>
      </c>
      <c r="D105" s="9">
        <v>0.01</v>
      </c>
      <c r="E105" s="9" t="str">
        <f t="shared" si="2"/>
        <v>Low Discount</v>
      </c>
      <c r="F105" s="11">
        <f t="shared" si="3"/>
        <v>24</v>
      </c>
      <c r="G105" t="s">
        <v>113</v>
      </c>
      <c r="H105" s="7" t="s">
        <v>113</v>
      </c>
      <c r="I105" t="s">
        <v>129</v>
      </c>
    </row>
    <row r="106" spans="1:9" x14ac:dyDescent="0.35">
      <c r="A106" t="s">
        <v>104</v>
      </c>
      <c r="B106" s="5">
        <v>198</v>
      </c>
      <c r="C106" s="5">
        <v>260</v>
      </c>
      <c r="D106" s="9">
        <v>0.24</v>
      </c>
      <c r="E106" s="9" t="str">
        <f t="shared" si="2"/>
        <v>Medium Discount</v>
      </c>
      <c r="F106" s="11">
        <f t="shared" si="3"/>
        <v>62</v>
      </c>
      <c r="G106" t="s">
        <v>113</v>
      </c>
      <c r="H106" s="7" t="s">
        <v>113</v>
      </c>
      <c r="I106" t="s">
        <v>129</v>
      </c>
    </row>
    <row r="107" spans="1:9" x14ac:dyDescent="0.35">
      <c r="A107" t="s">
        <v>105</v>
      </c>
      <c r="B107" s="5">
        <v>1150</v>
      </c>
      <c r="C107" s="5">
        <v>1737</v>
      </c>
      <c r="D107" s="9">
        <v>0.34</v>
      </c>
      <c r="E107" s="9" t="str">
        <f t="shared" si="2"/>
        <v>Medium Discount</v>
      </c>
      <c r="F107" s="11">
        <f t="shared" si="3"/>
        <v>587</v>
      </c>
      <c r="G107" t="s">
        <v>113</v>
      </c>
      <c r="H107" s="7" t="s">
        <v>113</v>
      </c>
      <c r="I107" t="s">
        <v>129</v>
      </c>
    </row>
    <row r="108" spans="1:9" x14ac:dyDescent="0.35">
      <c r="A108" t="s">
        <v>106</v>
      </c>
      <c r="B108" s="5">
        <v>1190</v>
      </c>
      <c r="C108" s="5">
        <v>1810</v>
      </c>
      <c r="D108" s="9">
        <v>0.34</v>
      </c>
      <c r="E108" s="9" t="str">
        <f t="shared" si="2"/>
        <v>Medium Discount</v>
      </c>
      <c r="F108" s="11">
        <f t="shared" si="3"/>
        <v>620</v>
      </c>
      <c r="G108" t="s">
        <v>113</v>
      </c>
      <c r="H108" s="7" t="s">
        <v>113</v>
      </c>
      <c r="I108" t="s">
        <v>129</v>
      </c>
    </row>
    <row r="109" spans="1:9" x14ac:dyDescent="0.35">
      <c r="A109" t="s">
        <v>107</v>
      </c>
      <c r="B109" s="5">
        <v>1658</v>
      </c>
      <c r="C109" s="5">
        <v>1699</v>
      </c>
      <c r="D109" s="9">
        <v>0.02</v>
      </c>
      <c r="E109" s="9" t="str">
        <f t="shared" si="2"/>
        <v>Low Discount</v>
      </c>
      <c r="F109" s="11">
        <f t="shared" si="3"/>
        <v>41</v>
      </c>
      <c r="G109" t="s">
        <v>113</v>
      </c>
      <c r="H109" s="7" t="s">
        <v>113</v>
      </c>
      <c r="I109" t="s">
        <v>129</v>
      </c>
    </row>
    <row r="110" spans="1:9" x14ac:dyDescent="0.35">
      <c r="A110" t="s">
        <v>108</v>
      </c>
      <c r="B110" s="5">
        <v>1768</v>
      </c>
      <c r="C110" s="5">
        <v>1799</v>
      </c>
      <c r="D110" s="9">
        <v>0.02</v>
      </c>
      <c r="E110" s="9" t="str">
        <f t="shared" si="2"/>
        <v>Low Discount</v>
      </c>
      <c r="F110" s="11">
        <f t="shared" si="3"/>
        <v>31</v>
      </c>
      <c r="G110" t="s">
        <v>113</v>
      </c>
      <c r="H110" s="7" t="s">
        <v>113</v>
      </c>
      <c r="I110" t="s">
        <v>129</v>
      </c>
    </row>
    <row r="111" spans="1:9" x14ac:dyDescent="0.35">
      <c r="A111" t="s">
        <v>109</v>
      </c>
      <c r="B111" s="5">
        <v>199</v>
      </c>
      <c r="C111" s="5">
        <v>553</v>
      </c>
      <c r="D111" s="9">
        <v>0.64</v>
      </c>
      <c r="E111" s="9" t="str">
        <f t="shared" si="2"/>
        <v>High Discount</v>
      </c>
      <c r="F111" s="11">
        <f t="shared" si="3"/>
        <v>354</v>
      </c>
      <c r="G111" t="s">
        <v>113</v>
      </c>
      <c r="H111" s="7" t="s">
        <v>113</v>
      </c>
      <c r="I111" t="s">
        <v>129</v>
      </c>
    </row>
    <row r="112" spans="1:9" x14ac:dyDescent="0.35">
      <c r="A112" t="s">
        <v>110</v>
      </c>
      <c r="B112" s="5">
        <v>450</v>
      </c>
      <c r="C112" s="5">
        <v>900</v>
      </c>
      <c r="D112" s="9">
        <v>0.5</v>
      </c>
      <c r="E112" s="9" t="str">
        <f t="shared" si="2"/>
        <v>High Discount</v>
      </c>
      <c r="F112" s="11">
        <f t="shared" si="3"/>
        <v>450</v>
      </c>
      <c r="G112">
        <v>1</v>
      </c>
      <c r="H112" s="7">
        <v>2</v>
      </c>
      <c r="I112" t="s">
        <v>127</v>
      </c>
    </row>
    <row r="113" spans="1:9" x14ac:dyDescent="0.35">
      <c r="A113" t="s">
        <v>111</v>
      </c>
      <c r="B113" s="5">
        <v>169</v>
      </c>
      <c r="C113" s="5">
        <v>320</v>
      </c>
      <c r="D113" s="9">
        <v>0.47</v>
      </c>
      <c r="E113" s="9" t="str">
        <f t="shared" si="2"/>
        <v>High Discount</v>
      </c>
      <c r="F113" s="11">
        <f t="shared" si="3"/>
        <v>151</v>
      </c>
      <c r="G113" t="s">
        <v>113</v>
      </c>
      <c r="H113" s="7" t="s">
        <v>113</v>
      </c>
      <c r="I113" t="s">
        <v>129</v>
      </c>
    </row>
  </sheetData>
  <conditionalFormatting sqref="E1:E1048576">
    <cfRule type="containsText" dxfId="11" priority="2" operator="containsText" text="Low Discount">
      <formula>NOT(ISERROR(SEARCH("Low Discount",E1)))</formula>
    </cfRule>
  </conditionalFormatting>
  <conditionalFormatting sqref="I1:I1048576">
    <cfRule type="containsText" dxfId="10" priority="1" operator="containsText" text="Poor">
      <formula>NOT(ISERROR(SEARCH("Poor",I1)))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CF273-C5B6-4FF2-9973-58A5B38F1BD6}">
  <dimension ref="A1"/>
  <sheetViews>
    <sheetView topLeftCell="H1" workbookViewId="0">
      <selection activeCell="W26" sqref="W26"/>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9457-1C59-4810-AD7D-5D69A36B3CC1}">
  <dimension ref="A3:B27"/>
  <sheetViews>
    <sheetView workbookViewId="0">
      <selection activeCell="B6" sqref="B6"/>
    </sheetView>
  </sheetViews>
  <sheetFormatPr defaultRowHeight="14.5" x14ac:dyDescent="0.35"/>
  <cols>
    <col min="1" max="1" width="12.6328125" bestFit="1" customWidth="1"/>
    <col min="2" max="2" width="13.6328125" bestFit="1" customWidth="1"/>
  </cols>
  <sheetData>
    <row r="3" spans="1:2" x14ac:dyDescent="0.35">
      <c r="A3" s="13" t="s">
        <v>134</v>
      </c>
      <c r="B3" t="s">
        <v>136</v>
      </c>
    </row>
    <row r="4" spans="1:2" x14ac:dyDescent="0.35">
      <c r="A4" s="14">
        <v>2</v>
      </c>
      <c r="B4" s="15">
        <v>1</v>
      </c>
    </row>
    <row r="5" spans="1:2" x14ac:dyDescent="0.35">
      <c r="A5" s="14">
        <v>2.1</v>
      </c>
      <c r="B5" s="15">
        <v>20</v>
      </c>
    </row>
    <row r="6" spans="1:2" x14ac:dyDescent="0.35">
      <c r="A6" s="14">
        <v>2.2000000000000002</v>
      </c>
      <c r="B6" s="15">
        <v>12</v>
      </c>
    </row>
    <row r="7" spans="1:2" x14ac:dyDescent="0.35">
      <c r="A7" s="14">
        <v>2.2999999999999998</v>
      </c>
      <c r="B7" s="15">
        <v>13</v>
      </c>
    </row>
    <row r="8" spans="1:2" x14ac:dyDescent="0.35">
      <c r="A8" s="14">
        <v>2.5</v>
      </c>
      <c r="B8" s="15">
        <v>6</v>
      </c>
    </row>
    <row r="9" spans="1:2" x14ac:dyDescent="0.35">
      <c r="A9" s="14">
        <v>2.6</v>
      </c>
      <c r="B9" s="15">
        <v>17</v>
      </c>
    </row>
    <row r="10" spans="1:2" x14ac:dyDescent="0.35">
      <c r="A10" s="14">
        <v>2.7</v>
      </c>
      <c r="B10" s="15">
        <v>15</v>
      </c>
    </row>
    <row r="11" spans="1:2" x14ac:dyDescent="0.35">
      <c r="A11" s="14">
        <v>2.8</v>
      </c>
      <c r="B11" s="15">
        <v>69</v>
      </c>
    </row>
    <row r="12" spans="1:2" x14ac:dyDescent="0.35">
      <c r="A12" s="14">
        <v>2.9</v>
      </c>
      <c r="B12" s="15">
        <v>16</v>
      </c>
    </row>
    <row r="13" spans="1:2" x14ac:dyDescent="0.35">
      <c r="A13" s="14">
        <v>3</v>
      </c>
      <c r="B13" s="15">
        <v>26</v>
      </c>
    </row>
    <row r="14" spans="1:2" x14ac:dyDescent="0.35">
      <c r="A14" s="14">
        <v>3.3</v>
      </c>
      <c r="B14" s="15">
        <v>13</v>
      </c>
    </row>
    <row r="15" spans="1:2" x14ac:dyDescent="0.35">
      <c r="A15" s="14">
        <v>3.8</v>
      </c>
      <c r="B15" s="15">
        <v>30</v>
      </c>
    </row>
    <row r="16" spans="1:2" x14ac:dyDescent="0.35">
      <c r="A16" s="14">
        <v>4</v>
      </c>
      <c r="B16" s="15">
        <v>24</v>
      </c>
    </row>
    <row r="17" spans="1:2" x14ac:dyDescent="0.35">
      <c r="A17" s="14">
        <v>4.0999999999999996</v>
      </c>
      <c r="B17" s="15">
        <v>46</v>
      </c>
    </row>
    <row r="18" spans="1:2" x14ac:dyDescent="0.35">
      <c r="A18" s="14">
        <v>4.2</v>
      </c>
      <c r="B18" s="15">
        <v>9</v>
      </c>
    </row>
    <row r="19" spans="1:2" x14ac:dyDescent="0.35">
      <c r="A19" s="14">
        <v>4.3</v>
      </c>
      <c r="B19" s="15">
        <v>61</v>
      </c>
    </row>
    <row r="20" spans="1:2" x14ac:dyDescent="0.35">
      <c r="A20" s="14">
        <v>4.4000000000000004</v>
      </c>
      <c r="B20" s="15">
        <v>14</v>
      </c>
    </row>
    <row r="21" spans="1:2" x14ac:dyDescent="0.35">
      <c r="A21" s="14">
        <v>4.5</v>
      </c>
      <c r="B21" s="15">
        <v>42</v>
      </c>
    </row>
    <row r="22" spans="1:2" x14ac:dyDescent="0.35">
      <c r="A22" s="14">
        <v>4.5999999999999996</v>
      </c>
      <c r="B22" s="15">
        <v>177</v>
      </c>
    </row>
    <row r="23" spans="1:2" x14ac:dyDescent="0.35">
      <c r="A23" s="14">
        <v>4.7</v>
      </c>
      <c r="B23" s="15">
        <v>78</v>
      </c>
    </row>
    <row r="24" spans="1:2" x14ac:dyDescent="0.35">
      <c r="A24" s="14">
        <v>4.8</v>
      </c>
      <c r="B24" s="15">
        <v>22</v>
      </c>
    </row>
    <row r="25" spans="1:2" x14ac:dyDescent="0.35">
      <c r="A25" s="14">
        <v>5</v>
      </c>
      <c r="B25" s="15">
        <v>12</v>
      </c>
    </row>
    <row r="26" spans="1:2" x14ac:dyDescent="0.35">
      <c r="A26" s="14" t="s">
        <v>113</v>
      </c>
      <c r="B26" s="15">
        <v>0</v>
      </c>
    </row>
    <row r="27" spans="1:2" x14ac:dyDescent="0.35">
      <c r="A27" s="14" t="s">
        <v>135</v>
      </c>
      <c r="B27" s="15">
        <v>723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7343A-C4BA-401D-BFA2-BA47B89C393B}">
  <dimension ref="A3:J68"/>
  <sheetViews>
    <sheetView zoomScale="84" zoomScaleNormal="84" workbookViewId="0">
      <selection activeCell="A21" sqref="A21:B32"/>
    </sheetView>
  </sheetViews>
  <sheetFormatPr defaultRowHeight="14.5" x14ac:dyDescent="0.35"/>
  <cols>
    <col min="1" max="1" width="78.36328125" bestFit="1" customWidth="1"/>
    <col min="2" max="2" width="12" bestFit="1" customWidth="1"/>
    <col min="3" max="3" width="12.08984375" bestFit="1" customWidth="1"/>
    <col min="4" max="4" width="16.08984375" bestFit="1" customWidth="1"/>
    <col min="5" max="5" width="10.7265625" bestFit="1" customWidth="1"/>
    <col min="6" max="6" width="15.26953125" bestFit="1" customWidth="1"/>
    <col min="7" max="7" width="15.36328125" bestFit="1" customWidth="1"/>
    <col min="8" max="8" width="12" bestFit="1" customWidth="1"/>
    <col min="9" max="9" width="15.7265625" bestFit="1" customWidth="1"/>
    <col min="10" max="10" width="10.7265625" bestFit="1" customWidth="1"/>
  </cols>
  <sheetData>
    <row r="3" spans="1:10" x14ac:dyDescent="0.35">
      <c r="A3" s="13" t="s">
        <v>137</v>
      </c>
      <c r="B3" t="s">
        <v>138</v>
      </c>
    </row>
    <row r="4" spans="1:10" x14ac:dyDescent="0.35">
      <c r="A4" s="14" t="s">
        <v>33</v>
      </c>
      <c r="B4" s="1">
        <v>0.52</v>
      </c>
      <c r="F4" s="13" t="s">
        <v>145</v>
      </c>
      <c r="G4" s="13" t="s">
        <v>147</v>
      </c>
    </row>
    <row r="5" spans="1:10" x14ac:dyDescent="0.35">
      <c r="A5" s="14" t="s">
        <v>65</v>
      </c>
      <c r="B5" s="1">
        <v>0.52</v>
      </c>
      <c r="F5" s="13" t="s">
        <v>134</v>
      </c>
      <c r="G5" t="s">
        <v>126</v>
      </c>
      <c r="H5" t="s">
        <v>125</v>
      </c>
      <c r="I5" t="s">
        <v>124</v>
      </c>
      <c r="J5" t="s">
        <v>135</v>
      </c>
    </row>
    <row r="6" spans="1:10" x14ac:dyDescent="0.35">
      <c r="A6" s="14" t="s">
        <v>23</v>
      </c>
      <c r="B6" s="1">
        <v>0.53</v>
      </c>
      <c r="F6" s="14" t="s">
        <v>119</v>
      </c>
      <c r="G6" s="15">
        <v>11</v>
      </c>
      <c r="H6" s="15">
        <v>2</v>
      </c>
      <c r="I6" s="15">
        <v>8</v>
      </c>
      <c r="J6" s="15">
        <v>21</v>
      </c>
    </row>
    <row r="7" spans="1:10" x14ac:dyDescent="0.35">
      <c r="A7" s="14" t="s">
        <v>39</v>
      </c>
      <c r="B7" s="1">
        <v>0.53</v>
      </c>
      <c r="F7" s="14" t="s">
        <v>128</v>
      </c>
      <c r="G7" s="15">
        <v>10</v>
      </c>
      <c r="H7" s="15">
        <v>1</v>
      </c>
      <c r="I7" s="15">
        <v>13</v>
      </c>
      <c r="J7" s="15">
        <v>24</v>
      </c>
    </row>
    <row r="8" spans="1:10" x14ac:dyDescent="0.35">
      <c r="A8" s="14" t="s">
        <v>62</v>
      </c>
      <c r="B8" s="1">
        <v>0.54</v>
      </c>
      <c r="F8" s="14" t="s">
        <v>129</v>
      </c>
      <c r="G8" s="15">
        <v>32</v>
      </c>
      <c r="H8" s="15">
        <v>14</v>
      </c>
      <c r="I8" s="15">
        <v>9</v>
      </c>
      <c r="J8" s="15">
        <v>55</v>
      </c>
    </row>
    <row r="9" spans="1:10" x14ac:dyDescent="0.35">
      <c r="A9" s="14" t="s">
        <v>27</v>
      </c>
      <c r="B9" s="1">
        <v>0.54</v>
      </c>
      <c r="F9" s="14" t="s">
        <v>127</v>
      </c>
      <c r="G9" s="16">
        <v>10</v>
      </c>
      <c r="H9" s="15">
        <v>1</v>
      </c>
      <c r="I9" s="15">
        <v>1</v>
      </c>
      <c r="J9" s="15">
        <v>12</v>
      </c>
    </row>
    <row r="10" spans="1:10" x14ac:dyDescent="0.35">
      <c r="A10" s="14" t="s">
        <v>57</v>
      </c>
      <c r="B10" s="1">
        <v>0.55000000000000004</v>
      </c>
      <c r="F10" s="14" t="s">
        <v>135</v>
      </c>
      <c r="G10" s="15">
        <v>63</v>
      </c>
      <c r="H10" s="15">
        <v>18</v>
      </c>
      <c r="I10" s="15">
        <v>31</v>
      </c>
      <c r="J10" s="15">
        <v>112</v>
      </c>
    </row>
    <row r="11" spans="1:10" x14ac:dyDescent="0.35">
      <c r="A11" s="14" t="s">
        <v>11</v>
      </c>
      <c r="B11" s="1">
        <v>0.55000000000000004</v>
      </c>
    </row>
    <row r="12" spans="1:10" x14ac:dyDescent="0.35">
      <c r="A12" s="14" t="s">
        <v>63</v>
      </c>
      <c r="B12" s="1">
        <v>0.55000000000000004</v>
      </c>
    </row>
    <row r="13" spans="1:10" x14ac:dyDescent="0.35">
      <c r="A13" s="14" t="s">
        <v>51</v>
      </c>
      <c r="B13" s="1">
        <v>0.61</v>
      </c>
    </row>
    <row r="14" spans="1:10" x14ac:dyDescent="0.35">
      <c r="A14" s="14" t="s">
        <v>109</v>
      </c>
      <c r="B14" s="1">
        <v>0.64</v>
      </c>
    </row>
    <row r="15" spans="1:10" x14ac:dyDescent="0.35">
      <c r="A15" s="14" t="s">
        <v>135</v>
      </c>
      <c r="B15" s="1">
        <v>0.64</v>
      </c>
    </row>
    <row r="21" spans="1:2" x14ac:dyDescent="0.35">
      <c r="A21" s="13" t="s">
        <v>137</v>
      </c>
      <c r="B21" t="s">
        <v>136</v>
      </c>
    </row>
    <row r="22" spans="1:2" x14ac:dyDescent="0.35">
      <c r="A22" s="14" t="s">
        <v>31</v>
      </c>
      <c r="B22" s="15">
        <v>20</v>
      </c>
    </row>
    <row r="23" spans="1:2" x14ac:dyDescent="0.35">
      <c r="A23" s="14" t="s">
        <v>36</v>
      </c>
      <c r="B23" s="15">
        <v>20</v>
      </c>
    </row>
    <row r="24" spans="1:2" x14ac:dyDescent="0.35">
      <c r="A24" s="14" t="s">
        <v>5</v>
      </c>
      <c r="B24" s="15">
        <v>24</v>
      </c>
    </row>
    <row r="25" spans="1:2" x14ac:dyDescent="0.35">
      <c r="A25" s="14" t="s">
        <v>37</v>
      </c>
      <c r="B25" s="15">
        <v>32</v>
      </c>
    </row>
    <row r="26" spans="1:2" x14ac:dyDescent="0.35">
      <c r="A26" s="14" t="s">
        <v>40</v>
      </c>
      <c r="B26" s="15">
        <v>36</v>
      </c>
    </row>
    <row r="27" spans="1:2" x14ac:dyDescent="0.35">
      <c r="A27" s="14" t="s">
        <v>14</v>
      </c>
      <c r="B27" s="15">
        <v>39</v>
      </c>
    </row>
    <row r="28" spans="1:2" x14ac:dyDescent="0.35">
      <c r="A28" s="14" t="s">
        <v>22</v>
      </c>
      <c r="B28" s="15">
        <v>44</v>
      </c>
    </row>
    <row r="29" spans="1:2" x14ac:dyDescent="0.35">
      <c r="A29" s="14" t="s">
        <v>28</v>
      </c>
      <c r="B29" s="15">
        <v>49</v>
      </c>
    </row>
    <row r="30" spans="1:2" x14ac:dyDescent="0.35">
      <c r="A30" s="14" t="s">
        <v>9</v>
      </c>
      <c r="B30" s="15">
        <v>55</v>
      </c>
    </row>
    <row r="31" spans="1:2" x14ac:dyDescent="0.35">
      <c r="A31" s="14" t="s">
        <v>64</v>
      </c>
      <c r="B31" s="15">
        <v>69</v>
      </c>
    </row>
    <row r="32" spans="1:2" x14ac:dyDescent="0.35">
      <c r="A32" s="14" t="s">
        <v>135</v>
      </c>
      <c r="B32" s="15">
        <v>388</v>
      </c>
    </row>
    <row r="37" spans="1:2" x14ac:dyDescent="0.35">
      <c r="A37" s="13" t="s">
        <v>141</v>
      </c>
      <c r="B37" t="s">
        <v>140</v>
      </c>
    </row>
    <row r="38" spans="1:2" x14ac:dyDescent="0.35">
      <c r="A38" s="14" t="s">
        <v>18</v>
      </c>
      <c r="B38" s="15">
        <v>5</v>
      </c>
    </row>
    <row r="39" spans="1:2" x14ac:dyDescent="0.35">
      <c r="A39" s="14" t="s">
        <v>81</v>
      </c>
      <c r="B39" s="15">
        <v>5</v>
      </c>
    </row>
    <row r="40" spans="1:2" x14ac:dyDescent="0.35">
      <c r="A40" s="14" t="s">
        <v>39</v>
      </c>
      <c r="B40" s="15">
        <v>5</v>
      </c>
    </row>
    <row r="41" spans="1:2" x14ac:dyDescent="0.35">
      <c r="A41" s="14" t="s">
        <v>38</v>
      </c>
      <c r="B41" s="15">
        <v>5</v>
      </c>
    </row>
    <row r="42" spans="1:2" x14ac:dyDescent="0.35">
      <c r="A42" s="14" t="s">
        <v>101</v>
      </c>
      <c r="B42" s="15">
        <v>5</v>
      </c>
    </row>
    <row r="43" spans="1:2" x14ac:dyDescent="0.35">
      <c r="A43" s="14" t="s">
        <v>20</v>
      </c>
      <c r="B43" s="15">
        <v>5</v>
      </c>
    </row>
    <row r="44" spans="1:2" x14ac:dyDescent="0.35">
      <c r="A44" s="14" t="s">
        <v>19</v>
      </c>
      <c r="B44" s="15">
        <v>5</v>
      </c>
    </row>
    <row r="45" spans="1:2" x14ac:dyDescent="0.35">
      <c r="A45" s="14" t="s">
        <v>135</v>
      </c>
      <c r="B45" s="15">
        <v>5</v>
      </c>
    </row>
    <row r="50" spans="1:2" x14ac:dyDescent="0.35">
      <c r="A50" s="13" t="s">
        <v>143</v>
      </c>
      <c r="B50" t="s">
        <v>142</v>
      </c>
    </row>
    <row r="51" spans="1:2" x14ac:dyDescent="0.35">
      <c r="A51" s="14" t="s">
        <v>64</v>
      </c>
      <c r="B51" s="15">
        <v>2.8</v>
      </c>
    </row>
    <row r="52" spans="1:2" x14ac:dyDescent="0.35">
      <c r="A52" s="14" t="s">
        <v>69</v>
      </c>
      <c r="B52" s="15">
        <v>3</v>
      </c>
    </row>
    <row r="53" spans="1:2" x14ac:dyDescent="0.35">
      <c r="A53" s="14" t="s">
        <v>68</v>
      </c>
      <c r="B53" s="15">
        <v>2.2999999999999998</v>
      </c>
    </row>
    <row r="54" spans="1:2" x14ac:dyDescent="0.35">
      <c r="A54" s="14" t="s">
        <v>61</v>
      </c>
      <c r="B54" s="15">
        <v>2.5</v>
      </c>
    </row>
    <row r="55" spans="1:2" x14ac:dyDescent="0.35">
      <c r="A55" s="14" t="s">
        <v>63</v>
      </c>
      <c r="B55" s="15">
        <v>2.1</v>
      </c>
    </row>
    <row r="56" spans="1:2" x14ac:dyDescent="0.35">
      <c r="A56" s="14" t="s">
        <v>74</v>
      </c>
      <c r="B56" s="15">
        <v>2.2000000000000002</v>
      </c>
    </row>
    <row r="57" spans="1:2" x14ac:dyDescent="0.35">
      <c r="A57" s="14" t="s">
        <v>70</v>
      </c>
      <c r="B57" s="15">
        <v>2.6</v>
      </c>
    </row>
    <row r="58" spans="1:2" x14ac:dyDescent="0.35">
      <c r="A58" s="14" t="s">
        <v>67</v>
      </c>
      <c r="B58" s="15">
        <v>2.2000000000000002</v>
      </c>
    </row>
    <row r="59" spans="1:2" x14ac:dyDescent="0.35">
      <c r="A59" s="14" t="s">
        <v>75</v>
      </c>
      <c r="B59" s="15">
        <v>2.1</v>
      </c>
    </row>
    <row r="60" spans="1:2" x14ac:dyDescent="0.35">
      <c r="A60" s="14" t="s">
        <v>65</v>
      </c>
      <c r="B60" s="15">
        <v>2.7</v>
      </c>
    </row>
    <row r="61" spans="1:2" x14ac:dyDescent="0.35">
      <c r="A61" s="14" t="s">
        <v>71</v>
      </c>
      <c r="B61" s="15">
        <v>3</v>
      </c>
    </row>
    <row r="62" spans="1:2" x14ac:dyDescent="0.35">
      <c r="A62" s="14" t="s">
        <v>80</v>
      </c>
      <c r="B62" s="15">
        <v>3</v>
      </c>
    </row>
    <row r="63" spans="1:2" x14ac:dyDescent="0.35">
      <c r="A63" s="14" t="s">
        <v>62</v>
      </c>
      <c r="B63" s="15">
        <v>3</v>
      </c>
    </row>
    <row r="64" spans="1:2" x14ac:dyDescent="0.35">
      <c r="A64" s="14" t="s">
        <v>66</v>
      </c>
      <c r="B64" s="15">
        <v>2.9</v>
      </c>
    </row>
    <row r="65" spans="1:2" x14ac:dyDescent="0.35">
      <c r="A65" s="14" t="s">
        <v>110</v>
      </c>
      <c r="B65" s="15">
        <v>2</v>
      </c>
    </row>
    <row r="66" spans="1:2" x14ac:dyDescent="0.35">
      <c r="A66" s="14" t="s">
        <v>72</v>
      </c>
      <c r="B66" s="15">
        <v>2.2999999999999998</v>
      </c>
    </row>
    <row r="67" spans="1:2" x14ac:dyDescent="0.35">
      <c r="A67" s="14" t="s">
        <v>73</v>
      </c>
      <c r="B67" s="15">
        <v>3</v>
      </c>
    </row>
    <row r="68" spans="1:2" x14ac:dyDescent="0.35">
      <c r="A68" s="14" t="s">
        <v>135</v>
      </c>
      <c r="B68" s="15">
        <v>2</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B3E6F-2E55-4725-A8AB-9841E80AB7B2}">
  <dimension ref="A3:C7"/>
  <sheetViews>
    <sheetView workbookViewId="0">
      <selection activeCell="P12" sqref="P12"/>
    </sheetView>
  </sheetViews>
  <sheetFormatPr defaultRowHeight="14.5" x14ac:dyDescent="0.35"/>
  <cols>
    <col min="1" max="1" width="15.90625" bestFit="1" customWidth="1"/>
    <col min="2" max="2" width="15" bestFit="1" customWidth="1"/>
    <col min="3" max="3" width="15.90625" bestFit="1" customWidth="1"/>
  </cols>
  <sheetData>
    <row r="3" spans="1:3" x14ac:dyDescent="0.35">
      <c r="A3" s="13" t="s">
        <v>134</v>
      </c>
      <c r="B3" t="s">
        <v>139</v>
      </c>
      <c r="C3" t="s">
        <v>144</v>
      </c>
    </row>
    <row r="4" spans="1:3" x14ac:dyDescent="0.35">
      <c r="A4" s="14" t="s">
        <v>126</v>
      </c>
      <c r="B4" s="15">
        <v>63</v>
      </c>
      <c r="C4" s="7">
        <v>3.6580645161290311</v>
      </c>
    </row>
    <row r="5" spans="1:3" x14ac:dyDescent="0.35">
      <c r="A5" s="14" t="s">
        <v>125</v>
      </c>
      <c r="B5" s="15">
        <v>18</v>
      </c>
      <c r="C5" s="7">
        <v>3.7249999999999996</v>
      </c>
    </row>
    <row r="6" spans="1:3" x14ac:dyDescent="0.35">
      <c r="A6" s="14" t="s">
        <v>124</v>
      </c>
      <c r="B6" s="15">
        <v>31</v>
      </c>
      <c r="C6" s="7">
        <v>4.245454545454546</v>
      </c>
    </row>
    <row r="7" spans="1:3" x14ac:dyDescent="0.35">
      <c r="A7" s="14" t="s">
        <v>135</v>
      </c>
      <c r="B7" s="15">
        <v>112</v>
      </c>
      <c r="C7" s="7">
        <v>3.8894736842105244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51DE2-AD98-4230-8DDA-3A2A53D76401}">
  <dimension ref="A2:K4"/>
  <sheetViews>
    <sheetView workbookViewId="0">
      <selection activeCell="AB14" sqref="AB14"/>
    </sheetView>
  </sheetViews>
  <sheetFormatPr defaultRowHeight="14.5" x14ac:dyDescent="0.35"/>
  <cols>
    <col min="1" max="1" width="15.26953125" bestFit="1" customWidth="1"/>
    <col min="2" max="2" width="15.90625" bestFit="1" customWidth="1"/>
    <col min="3" max="3" width="18.08984375" bestFit="1" customWidth="1"/>
    <col min="4" max="4" width="13.6328125" bestFit="1" customWidth="1"/>
    <col min="9" max="9" width="10.36328125" bestFit="1" customWidth="1"/>
    <col min="10" max="10" width="12" bestFit="1" customWidth="1"/>
  </cols>
  <sheetData>
    <row r="2" spans="1:11" x14ac:dyDescent="0.35">
      <c r="H2" t="s">
        <v>148</v>
      </c>
    </row>
    <row r="3" spans="1:11" x14ac:dyDescent="0.35">
      <c r="A3" t="s">
        <v>145</v>
      </c>
      <c r="B3" t="s">
        <v>144</v>
      </c>
      <c r="C3" t="s">
        <v>146</v>
      </c>
      <c r="D3" t="s">
        <v>136</v>
      </c>
      <c r="H3" t="s">
        <v>149</v>
      </c>
      <c r="I3" t="s">
        <v>150</v>
      </c>
      <c r="J3" t="s">
        <v>151</v>
      </c>
      <c r="K3" t="s">
        <v>152</v>
      </c>
    </row>
    <row r="4" spans="1:11" x14ac:dyDescent="0.35">
      <c r="A4" s="15">
        <v>112</v>
      </c>
      <c r="B4" s="7">
        <v>3.8894736842105258</v>
      </c>
      <c r="C4" s="1">
        <v>0.36776785714285715</v>
      </c>
      <c r="D4" s="15">
        <v>723</v>
      </c>
      <c r="H4">
        <f>A4</f>
        <v>112</v>
      </c>
      <c r="I4" s="7">
        <f t="shared" ref="I4:K4" si="0">B4</f>
        <v>3.8894736842105258</v>
      </c>
      <c r="J4" s="9">
        <f t="shared" si="0"/>
        <v>0.36776785714285715</v>
      </c>
      <c r="K4">
        <f t="shared" si="0"/>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21EB4-B7AD-4345-95F2-2598595D1C08}">
  <dimension ref="A1:A2"/>
  <sheetViews>
    <sheetView showGridLines="0" tabSelected="1" zoomScale="90" zoomScaleNormal="90" workbookViewId="0">
      <selection activeCell="AB22" sqref="AB22"/>
    </sheetView>
  </sheetViews>
  <sheetFormatPr defaultRowHeight="14.5" x14ac:dyDescent="0.35"/>
  <cols>
    <col min="1" max="1" width="3" customWidth="1"/>
    <col min="2" max="2" width="17.453125" customWidth="1"/>
    <col min="3" max="3" width="3" customWidth="1"/>
  </cols>
  <sheetData>
    <row r="1" customFormat="1" x14ac:dyDescent="0.35"/>
    <row r="2"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Excel_jumia_raw</vt:lpstr>
      <vt:lpstr>Excel_jumia</vt:lpstr>
      <vt:lpstr>RltnshpDisc%&amp;No.ofReviews</vt:lpstr>
      <vt:lpstr>RltnshpRating&amp;No.ofReviews</vt:lpstr>
      <vt:lpstr>Pivot Tables</vt:lpstr>
      <vt:lpstr>compbtwndisc&amp;avgrating&amp;rev</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clare nditi</dc:creator>
  <cp:lastModifiedBy>clare nditi</cp:lastModifiedBy>
  <dcterms:created xsi:type="dcterms:W3CDTF">2026-04-30T11:58:47Z</dcterms:created>
  <dcterms:modified xsi:type="dcterms:W3CDTF">2026-06-03T10:20:11Z</dcterms:modified>
</cp:coreProperties>
</file>